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https://d.docs.live.net/2f47093fa76bd5d8/CMMR/未归挡项目/卫生展示系统/"/>
    </mc:Choice>
  </mc:AlternateContent>
  <bookViews>
    <workbookView xWindow="0" yWindow="0" windowWidth="20460" windowHeight="8850"/>
  </bookViews>
  <sheets>
    <sheet name="分指标满意度" sheetId="2" r:id="rId1"/>
    <sheet name="分科室满意度" sheetId="3" r:id="rId2"/>
    <sheet name="分科室意见" sheetId="5" r:id="rId3"/>
    <sheet name="具体意见" sheetId="6" r:id="rId4"/>
    <sheet name="意见库" sheetId="7" r:id="rId5"/>
    <sheet name="Sheet1" sheetId="1" r:id="rId6"/>
  </sheets>
  <definedNames>
    <definedName name="_xlnm._FilterDatabase" localSheetId="3" hidden="1">具体意见!$A$3:$F$3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6" l="1"/>
  <c r="H4" i="5" l="1"/>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 i="5"/>
  <c r="N24" i="2"/>
  <c r="N23" i="2"/>
  <c r="N22" i="2"/>
  <c r="N21" i="2"/>
  <c r="N20" i="2"/>
  <c r="N19" i="2"/>
  <c r="N18" i="2"/>
  <c r="N17" i="2"/>
  <c r="N16" i="2"/>
  <c r="N15" i="2"/>
  <c r="N14" i="2"/>
  <c r="N13" i="2"/>
  <c r="N12" i="2"/>
  <c r="N11" i="2"/>
  <c r="N10" i="2"/>
  <c r="N9" i="2"/>
  <c r="N8" i="2"/>
  <c r="N7" i="2"/>
  <c r="N6" i="2"/>
  <c r="N5" i="2"/>
  <c r="N4" i="2"/>
  <c r="K24" i="2"/>
  <c r="K23" i="2"/>
  <c r="K22" i="2"/>
  <c r="K21" i="2"/>
  <c r="K20" i="2"/>
  <c r="K19" i="2"/>
  <c r="K18" i="2"/>
  <c r="K17" i="2"/>
  <c r="K16" i="2"/>
  <c r="K15" i="2"/>
  <c r="K14" i="2"/>
  <c r="K13" i="2"/>
  <c r="K12" i="2"/>
  <c r="K11" i="2"/>
  <c r="K10" i="2"/>
  <c r="K9" i="2"/>
  <c r="K8" i="2"/>
  <c r="K7" i="2"/>
  <c r="K6" i="2"/>
  <c r="K5" i="2"/>
  <c r="K4" i="2"/>
  <c r="H24" i="2"/>
  <c r="H23" i="2"/>
  <c r="H22" i="2"/>
  <c r="H21" i="2"/>
  <c r="H20" i="2"/>
  <c r="H19" i="2"/>
  <c r="H18" i="2"/>
  <c r="H17" i="2"/>
  <c r="H16" i="2"/>
  <c r="H15" i="2"/>
  <c r="H14" i="2"/>
  <c r="H13" i="2"/>
  <c r="H12" i="2"/>
  <c r="H11" i="2"/>
  <c r="H10" i="2"/>
  <c r="H9" i="2"/>
  <c r="H8" i="2"/>
  <c r="H7" i="2"/>
  <c r="H6" i="2"/>
  <c r="H5" i="2"/>
  <c r="H4" i="2"/>
  <c r="E24" i="2"/>
  <c r="E23" i="2"/>
  <c r="E22" i="2"/>
  <c r="E21" i="2"/>
  <c r="E20" i="2"/>
  <c r="E19" i="2"/>
  <c r="E18" i="2"/>
  <c r="E17" i="2"/>
  <c r="E16" i="2"/>
  <c r="E15" i="2"/>
  <c r="E14" i="2"/>
  <c r="E13" i="2"/>
  <c r="E12" i="2"/>
  <c r="E11" i="2"/>
  <c r="E10" i="2"/>
  <c r="E9" i="2"/>
  <c r="E8" i="2"/>
  <c r="E7" i="2"/>
  <c r="E6" i="2"/>
  <c r="E5" i="2"/>
  <c r="E4" i="2"/>
  <c r="B5" i="2"/>
  <c r="B6" i="2"/>
  <c r="B7" i="2"/>
  <c r="B8" i="2"/>
  <c r="B9" i="2"/>
  <c r="B10" i="2"/>
  <c r="B11" i="2"/>
  <c r="B12" i="2"/>
  <c r="B13" i="2"/>
  <c r="B14" i="2"/>
  <c r="B15" i="2"/>
  <c r="B16" i="2"/>
  <c r="B17" i="2"/>
  <c r="B18" i="2"/>
  <c r="B19" i="2"/>
  <c r="B20" i="2"/>
  <c r="B21" i="2"/>
  <c r="B22" i="2"/>
  <c r="B23" i="2"/>
  <c r="B24" i="2"/>
  <c r="B4" i="2"/>
  <c r="C4" i="3"/>
  <c r="D4" i="3"/>
  <c r="E4" i="3"/>
  <c r="F4" i="3"/>
  <c r="G4" i="3"/>
  <c r="H4" i="3"/>
  <c r="I4" i="3"/>
  <c r="J4" i="3"/>
  <c r="K4" i="3"/>
  <c r="L4" i="3"/>
  <c r="M4" i="3"/>
  <c r="N4" i="3"/>
  <c r="O4" i="3"/>
  <c r="P4" i="3"/>
  <c r="Q4" i="3"/>
  <c r="R4" i="3"/>
  <c r="S4" i="3"/>
  <c r="T4" i="3"/>
  <c r="U4" i="3"/>
  <c r="V4" i="3"/>
  <c r="B4" i="3"/>
  <c r="B3" i="1" l="1"/>
  <c r="C3" i="1"/>
  <c r="D3" i="1"/>
  <c r="E3" i="1"/>
  <c r="B4" i="1"/>
  <c r="C4" i="1"/>
  <c r="D4" i="1"/>
  <c r="E4" i="1"/>
  <c r="B5" i="1"/>
  <c r="C5" i="1"/>
  <c r="D5" i="1"/>
  <c r="E5" i="1"/>
  <c r="B6" i="1"/>
  <c r="C6" i="1"/>
  <c r="D6" i="1"/>
  <c r="E6" i="1"/>
  <c r="B7" i="1"/>
  <c r="C7" i="1"/>
  <c r="D7" i="1"/>
  <c r="E7" i="1"/>
  <c r="B8" i="1"/>
  <c r="C8" i="1"/>
  <c r="D8" i="1"/>
  <c r="E8" i="1"/>
  <c r="B9" i="1"/>
  <c r="C9" i="1"/>
  <c r="D9" i="1"/>
  <c r="E9" i="1"/>
  <c r="B10" i="1"/>
  <c r="C10" i="1"/>
  <c r="D10" i="1"/>
  <c r="E10" i="1"/>
  <c r="B11" i="1"/>
  <c r="C11" i="1"/>
  <c r="D11" i="1"/>
  <c r="E11" i="1"/>
  <c r="B12" i="1"/>
  <c r="C12" i="1"/>
  <c r="D12" i="1"/>
  <c r="E12" i="1"/>
  <c r="C2" i="1"/>
  <c r="D2" i="1"/>
  <c r="E2" i="1"/>
  <c r="B2" i="1"/>
</calcChain>
</file>

<file path=xl/sharedStrings.xml><?xml version="1.0" encoding="utf-8"?>
<sst xmlns="http://schemas.openxmlformats.org/spreadsheetml/2006/main" count="2320" uniqueCount="874">
  <si>
    <t>一季度</t>
    <phoneticPr fontId="1" type="noConversion"/>
  </si>
  <si>
    <t>二季度</t>
    <phoneticPr fontId="1" type="noConversion"/>
  </si>
  <si>
    <t>三季度</t>
    <phoneticPr fontId="1" type="noConversion"/>
  </si>
  <si>
    <t>四季度</t>
    <phoneticPr fontId="1" type="noConversion"/>
  </si>
  <si>
    <t>服务流程</t>
    <phoneticPr fontId="1" type="noConversion"/>
  </si>
  <si>
    <t>服务态度</t>
    <phoneticPr fontId="1" type="noConversion"/>
  </si>
  <si>
    <t>环境后勤</t>
    <phoneticPr fontId="1" type="noConversion"/>
  </si>
  <si>
    <t>技术水平</t>
    <phoneticPr fontId="1" type="noConversion"/>
  </si>
  <si>
    <t>服务费用</t>
    <phoneticPr fontId="1" type="noConversion"/>
  </si>
  <si>
    <t>1月</t>
    <phoneticPr fontId="1" type="noConversion"/>
  </si>
  <si>
    <t>2月</t>
    <phoneticPr fontId="1" type="noConversion"/>
  </si>
  <si>
    <t>3月</t>
  </si>
  <si>
    <t>4月</t>
  </si>
  <si>
    <t>5月</t>
  </si>
  <si>
    <t>6月</t>
  </si>
  <si>
    <t>7月</t>
  </si>
  <si>
    <t>8月</t>
  </si>
  <si>
    <t>9月</t>
  </si>
  <si>
    <t>10月</t>
  </si>
  <si>
    <t>11月</t>
  </si>
  <si>
    <t>12月</t>
  </si>
  <si>
    <t>2014年</t>
    <phoneticPr fontId="1" type="noConversion"/>
  </si>
  <si>
    <t>2015年</t>
    <phoneticPr fontId="1" type="noConversion"/>
  </si>
  <si>
    <t>心内科</t>
    <phoneticPr fontId="1" type="noConversion"/>
  </si>
  <si>
    <t>呼吸内科</t>
    <phoneticPr fontId="1" type="noConversion"/>
  </si>
  <si>
    <t>消化内科</t>
    <phoneticPr fontId="1" type="noConversion"/>
  </si>
  <si>
    <t>肾内科</t>
    <phoneticPr fontId="1" type="noConversion"/>
  </si>
  <si>
    <t>血液内科</t>
    <phoneticPr fontId="1" type="noConversion"/>
  </si>
  <si>
    <t>基本外科</t>
    <phoneticPr fontId="1" type="noConversion"/>
  </si>
  <si>
    <t>骨科</t>
    <phoneticPr fontId="1" type="noConversion"/>
  </si>
  <si>
    <t>心外科</t>
    <phoneticPr fontId="1" type="noConversion"/>
  </si>
  <si>
    <t>神经外科</t>
    <phoneticPr fontId="1" type="noConversion"/>
  </si>
  <si>
    <t>检验科</t>
    <phoneticPr fontId="1" type="noConversion"/>
  </si>
  <si>
    <t>儿科</t>
    <phoneticPr fontId="1" type="noConversion"/>
  </si>
  <si>
    <t>神经科</t>
    <phoneticPr fontId="1" type="noConversion"/>
  </si>
  <si>
    <t>胸外科</t>
    <phoneticPr fontId="1" type="noConversion"/>
  </si>
  <si>
    <t>眼科</t>
    <phoneticPr fontId="1" type="noConversion"/>
  </si>
  <si>
    <t>放射科</t>
    <phoneticPr fontId="1" type="noConversion"/>
  </si>
  <si>
    <t>科室</t>
  </si>
  <si>
    <t>科室</t>
    <phoneticPr fontId="1" type="noConversion"/>
  </si>
  <si>
    <t>北京协和医院分科室满意度</t>
    <phoneticPr fontId="1" type="noConversion"/>
  </si>
  <si>
    <t>平均值</t>
    <phoneticPr fontId="1" type="noConversion"/>
  </si>
  <si>
    <t>总体</t>
    <phoneticPr fontId="1" type="noConversion"/>
  </si>
  <si>
    <t>门诊</t>
    <phoneticPr fontId="1" type="noConversion"/>
  </si>
  <si>
    <t>住院</t>
    <phoneticPr fontId="1" type="noConversion"/>
  </si>
  <si>
    <t>日期</t>
    <phoneticPr fontId="1" type="noConversion"/>
  </si>
  <si>
    <t>北京协和医院分指标满意度</t>
    <phoneticPr fontId="1" type="noConversion"/>
  </si>
  <si>
    <t>北京协和医院分科室意见</t>
    <phoneticPr fontId="1" type="noConversion"/>
  </si>
  <si>
    <t>日期</t>
    <phoneticPr fontId="1" type="noConversion"/>
  </si>
  <si>
    <t>合计</t>
    <phoneticPr fontId="1" type="noConversion"/>
  </si>
  <si>
    <t>指标</t>
  </si>
  <si>
    <t>时间</t>
  </si>
  <si>
    <t>患者姓名</t>
  </si>
  <si>
    <t>电话</t>
  </si>
  <si>
    <t>具体意见</t>
  </si>
  <si>
    <t>服务流程</t>
  </si>
  <si>
    <t>服务态度</t>
  </si>
  <si>
    <t>环境后勤</t>
  </si>
  <si>
    <t>技术水平</t>
  </si>
  <si>
    <t>服务费用</t>
  </si>
  <si>
    <t>张</t>
    <phoneticPr fontId="1" type="noConversion"/>
  </si>
  <si>
    <t>王</t>
    <phoneticPr fontId="1" type="noConversion"/>
  </si>
  <si>
    <t>李</t>
    <phoneticPr fontId="1" type="noConversion"/>
  </si>
  <si>
    <t>赵</t>
    <phoneticPr fontId="1" type="noConversion"/>
  </si>
  <si>
    <t>宋</t>
    <phoneticPr fontId="1" type="noConversion"/>
  </si>
  <si>
    <t>孙</t>
    <phoneticPr fontId="1" type="noConversion"/>
  </si>
  <si>
    <t>冯</t>
    <phoneticPr fontId="1" type="noConversion"/>
  </si>
  <si>
    <t>吴</t>
    <phoneticPr fontId="1" type="noConversion"/>
  </si>
  <si>
    <t>刘</t>
    <phoneticPr fontId="1" type="noConversion"/>
  </si>
  <si>
    <t>黄</t>
    <phoneticPr fontId="1" type="noConversion"/>
  </si>
  <si>
    <t>周</t>
    <phoneticPr fontId="1" type="noConversion"/>
  </si>
  <si>
    <t>先生</t>
    <phoneticPr fontId="1" type="noConversion"/>
  </si>
  <si>
    <t>女士</t>
    <phoneticPr fontId="1" type="noConversion"/>
  </si>
  <si>
    <t>冯女士</t>
  </si>
  <si>
    <t>孙女士</t>
  </si>
  <si>
    <t>刘女士</t>
  </si>
  <si>
    <t>孙先生</t>
  </si>
  <si>
    <t>王女士</t>
  </si>
  <si>
    <t>吴女士</t>
  </si>
  <si>
    <t>李先生</t>
  </si>
  <si>
    <t>周先生</t>
  </si>
  <si>
    <t>张先生</t>
  </si>
  <si>
    <t>宋女士</t>
  </si>
  <si>
    <t>赵女士</t>
  </si>
  <si>
    <t>冯先生</t>
  </si>
  <si>
    <t>黄女士</t>
  </si>
  <si>
    <t>宋先生</t>
  </si>
  <si>
    <t>王先生</t>
  </si>
  <si>
    <t>黄先生</t>
  </si>
  <si>
    <t>赵先生</t>
  </si>
  <si>
    <t>李女士</t>
  </si>
  <si>
    <t>生成公式</t>
    <phoneticPr fontId="1" type="noConversion"/>
  </si>
  <si>
    <t>=VLOOKUP(ROUND(RANDBETWEEN(1,5),0),$H$3:$I$7,2,FALSE)</t>
    <phoneticPr fontId="1" type="noConversion"/>
  </si>
  <si>
    <t>=VLOOKUP(ROUND(RANDBETWEEN(1,10),0),$K$3:$L$12,2,0)*100000000+100000000*RAND()</t>
    <phoneticPr fontId="1" type="noConversion"/>
  </si>
  <si>
    <t>=IF(ROUND(RAND(),0)=0,DATE(2014,ROUND(RANDBETWEEN(1,12),0),),DATE(2015,ROUND(RANDBETWEEN(1,9),0),))</t>
    <phoneticPr fontId="1" type="noConversion"/>
  </si>
  <si>
    <t>=VLOOKUP(ROUND(RANDBETWEEN(1,11),0),$H$9:$I$19,2,0)&amp;VLOOKUP(ROUND(RANDBETWEEN(1,2),0),$H$21:$I$22,2,0)</t>
    <phoneticPr fontId="1" type="noConversion"/>
  </si>
  <si>
    <t xml:space="preserve"> </t>
    <phoneticPr fontId="1" type="noConversion"/>
  </si>
  <si>
    <t>周女士</t>
  </si>
  <si>
    <t>张女士</t>
  </si>
  <si>
    <t>住进去很难，发短信也没人回，没有熟人住不进去，最后开了住院单打盐水在门诊，后来又不让住了。</t>
  </si>
  <si>
    <t>不知为什么总睡觉，精神不好没有力气，进去总是发病，出来反倒不发病</t>
  </si>
  <si>
    <t>住了一个星期不吃药，不吃饭，没精神</t>
  </si>
  <si>
    <t>病人吃不饱总向家人要钱，问过护士，护士说不许病人带钱，可每次给的钱也全没了。</t>
  </si>
  <si>
    <t>被子、枕头全成黑色的了，脏的要命</t>
  </si>
  <si>
    <t>厕所也很脏</t>
  </si>
  <si>
    <t>想出院总不叫出院，感觉病人好了，总说再观察几天</t>
  </si>
  <si>
    <t>问一些问题，不爱说，爱搭不惜理的</t>
  </si>
  <si>
    <t>病人要吃一些东西，家属给护士钱，让护士去买给病人吃，护士从来没有买过，病人说就没吃到过</t>
  </si>
  <si>
    <t>护工对病人态度不好</t>
  </si>
  <si>
    <t>活动太少，总在病房里，现在太热了，身上全部长痱子，也没给换凉席，不给洗澡。</t>
  </si>
  <si>
    <t>病情得不到控制，住了几个月就犯病，医生的技术不太好，遇到两次病人被打了，打成重伤，还有病人眼干他们治不了。</t>
  </si>
  <si>
    <t>药吃了总睡觉，这个病到底是看的好吗？已住了3个多月了，话也少，不知为什么。</t>
  </si>
  <si>
    <t>医生总给病人换药，也没见病人有好转，不知总换药好不好</t>
  </si>
  <si>
    <t>住了3个多月病情没有变好，还那样</t>
  </si>
  <si>
    <t>住了8个月也没见好，病情还那样，但是身上长了好多小豆豆，不知是药物过敏还是别的</t>
  </si>
  <si>
    <t>住了好几次没有效果，这都第4次住院了。也不见好。</t>
  </si>
  <si>
    <t>住了有一年了一直在换药，也不知道为什么，医生说你说吃什么药，害得我们也不敢问了</t>
  </si>
  <si>
    <t>护士都是新来的，比以前差多了，换护士太勤了， 护士刚对病人有一些了解，又换了，这样对病人不好。</t>
  </si>
  <si>
    <t>护工不给病人洗涤，病人太脏</t>
  </si>
  <si>
    <t>27天办理一次出院，入院手续，这个比较麻烦</t>
  </si>
  <si>
    <t>45天就要办一次出院，入院手续，太麻烦了，家里就两个老人都80多了，要是年轻人还可以，老人就觉得力不从心了。</t>
  </si>
  <si>
    <t>护士态度很差吓唬人，病人想去四楼不让去，说四楼会打人的，望护士以后不要吓唬病人</t>
  </si>
  <si>
    <t>保洁的态度不好，让她把床底下收拾一下，他不管，说这么干净还用擦，怎么也不管，弄得自己去擦。</t>
  </si>
  <si>
    <t>家人买的东西，吃的少，病人没吃多少就没了，别的病人家属也有这种看法</t>
  </si>
  <si>
    <t>有另外的病要家属带着到外面的医院去看病，本院除了精神病以外，全都不给看，这样很不方便，有一次病人大便干燥，要求家人带着去</t>
  </si>
  <si>
    <t>一个月都要办理一次出院、入院手续，非常麻烦，都是长期在那里了，后来没有就是这两年，不是我一个人说麻烦都说麻烦</t>
  </si>
  <si>
    <t>病房里没有传呼系统，有事情需要跑到护士那里去叫，很不方便</t>
  </si>
  <si>
    <t>家属问一下医生，护士为什么要用这些要，不够热情，耐心，说一些不痛不痒的话，让家属很难明白</t>
  </si>
  <si>
    <t>病人不需要护工，还强加一个护工每月还要收300元。</t>
  </si>
  <si>
    <t>孩子是脑炎诊断不出来，到第二天问医生是否是神经上的毛病，这样医生才说让去别家医院诊断，后去别家医院诊断出是脑炎，如果延误</t>
  </si>
  <si>
    <t>一般不太好</t>
  </si>
  <si>
    <t>一直在用药，但也不见好，感觉技术一般般</t>
  </si>
  <si>
    <t>护工一天就给拿个饭，喂个药，没有干什么技术的活，一个护工管7、8个人，没有专心为病人，费用很高，陪护中心非要安排一个护工，</t>
  </si>
  <si>
    <t>在护理期间把病人摔倒了，把骨盆摔坏了，还得去别家医院动手术。</t>
  </si>
  <si>
    <t>卫生不干净</t>
  </si>
  <si>
    <t>卫生不怎么好，蚊子太多，要经常消毒</t>
  </si>
  <si>
    <t>厕所破破烂烂</t>
  </si>
  <si>
    <t>设备条件不好，落后，没有专门给孩子诊断的设备</t>
  </si>
  <si>
    <t>出院时才给清单，不像别的医院每天一张清单。</t>
  </si>
  <si>
    <t>每个月办理一次出院、住院手续，这个是很麻烦的</t>
  </si>
  <si>
    <t>护士最好让病人做些力所能及的事情，最好帮助病人戒烟</t>
  </si>
  <si>
    <t>孩子吃饭吃的多、吃不饱，孩子看着瘦下去了，眼睛都凹进去了，做母亲的看着心疼。打饭的护工要多关照一下。</t>
  </si>
  <si>
    <t>护工从外面带香烟卖给病人，家人想让病人把烟戒掉，可护工这么做病人就无法戒掉，提出来了也没有改</t>
  </si>
  <si>
    <t>出院后比在医院病情好了很多，心情、胃口也都好了，在医院心情胃口不好。</t>
  </si>
  <si>
    <t>刚去时医生什么都不说，强迫吃药，没有人权，复查时能不能找门诊的医生找自己的主治医生老找不到</t>
  </si>
  <si>
    <t>刚去时没有碗筷，不给买，后来说非让家里人来才可以</t>
  </si>
  <si>
    <t>缴费单不是明细，写的总数让交多少就交多少</t>
  </si>
  <si>
    <t>每个月要办一次入院出院手续，这个很麻烦，有时工作不在当地。</t>
  </si>
  <si>
    <t>曲副主任问她些问题总是呃呃呃，要是这样回答我们也可以当医生</t>
  </si>
  <si>
    <t>在书里看到焦虑病人的症状问医生，医生不爱回答，甚至不理睬马上跑走。</t>
  </si>
  <si>
    <t>护士态度不好，跟病人大声叫呼，害的女儿一天不吃饭，本来家里有这种病的人就很不舒服，这样一叫呼心情更不好了。</t>
  </si>
  <si>
    <t>护士态度很差，与病人吵架</t>
  </si>
  <si>
    <t>护士与病人要钱，这样做是否有些过分，本来病人就是精神上的毛病，这样一来病情又要加重，结账要与家属来说，不能跟病人要。</t>
  </si>
  <si>
    <t>病人有问题问不理睬</t>
  </si>
  <si>
    <t>吃了药发胖，吃了药才能睡觉，不吃药就睡不了，对药有依赖了，这样是否不好</t>
  </si>
  <si>
    <t>收费太多在外面，只要100多可在第七医院，打同样的药要600多</t>
  </si>
  <si>
    <t>住进去第三天态度很差， 打盐水孩子说不打了，护士说不打就不打，医生说我只看神经病不看其他病，这话听起来很刺耳。</t>
  </si>
  <si>
    <t>少数态度不好，对病人爱理不理，咨询问题不爱理</t>
  </si>
  <si>
    <t>感冒了喉咙发炎了，问医生说跟精神有关系，刚进去有好转，家人让出院，医生说还没好，又接着治疗越来越不好了。</t>
  </si>
  <si>
    <t>药吃的过敏了，住了1个星期没有看好，本医院不给看，让去其他医院看，医生说只能看精神病，外科不能看，</t>
  </si>
  <si>
    <t>味道很难闻，病房很脏</t>
  </si>
  <si>
    <t>管理混乱，买水果去2天就没了。不人性化管理，管理不到位</t>
  </si>
  <si>
    <t>经常办理出院入院手续麻烦，家里没有人照顾</t>
  </si>
  <si>
    <t>一年签一次合同，办理出院手续很麻烦，要到总院去签，离家很远，年轻人没关系，可年纪大了就觉得不方便</t>
  </si>
  <si>
    <t>院子里活动场地太小，病人在那里活动不开，本来一天天的在病房里，空气不好，赶上风，就没法活动</t>
  </si>
  <si>
    <t>病情严重了比住进去还厉害了，治了7、8年了。</t>
  </si>
  <si>
    <t>病人消化不好，医生没给看好</t>
  </si>
  <si>
    <t>检查太多，也没看好，还老换药，后来就去杭州看去了。</t>
  </si>
  <si>
    <t>咳嗽了很长时间，让回家住了20多天，这家医院不给看咳嗽</t>
  </si>
  <si>
    <t>与医生说给孩子找点活干，这样让孩子有事干，不至于瞎想，这对病情治疗也是有帮助的，要不然孩子老是呆着病是不会好的</t>
  </si>
  <si>
    <t>住了2年了也没有看好</t>
  </si>
  <si>
    <t>住了3年病情没有好转，有别的病要把病人带去别家医院看，这样很不好，家属怎么带病人去那，最后只好去药店买些药给病人吃。</t>
  </si>
  <si>
    <t>床位太多有些挤</t>
  </si>
  <si>
    <t>交费后有单子打的，可是单子要交服务台不给自己留着</t>
  </si>
  <si>
    <t>每次发票都不给病人，开出的发票要交给护士，然后护士就把发票拿走了</t>
  </si>
  <si>
    <t>每年要办一次入院，出院手续这个比较麻烦，可能这个也是规定，最好取消这个规定</t>
  </si>
  <si>
    <t>有毛病打电话要带着去外面去看病，高血糖等</t>
  </si>
  <si>
    <t>转院时想转不让转，让说出哪个地方不好</t>
  </si>
  <si>
    <t>病人去的时候穿的很好衣服，每次去探视时都是穿的破破烂烂的，纽扣也没有，衣服破了没人补，已经买了25套棉毛衫拿去了，全没了，</t>
  </si>
  <si>
    <t>福州的医院吃了药半年不发，这里一天不吃药就不行了，没有长期的治疗作用，住了好几年还这样</t>
  </si>
  <si>
    <t>没有运动的地方</t>
  </si>
  <si>
    <t>筷子全是湿的，不干，觉得不干净</t>
  </si>
  <si>
    <t>交费单送到护士长那，不给病人家属</t>
  </si>
  <si>
    <t>每个月办一次入院出院手续，家人都要签字很麻烦，父亲要去工作，我本人不在那里，费用也高，所以就转院了。</t>
  </si>
  <si>
    <t>原来住过，有些事情的原因出院了，再住进去就刁难，不让住了。</t>
  </si>
  <si>
    <t>态度很差进去时穿着自己的衣服，出来时，衣服没了，给穿一件还不如乞丐穿的衣服，像什么样子</t>
  </si>
  <si>
    <t>吃了一年多的药也不好，总吃药身体也不好。</t>
  </si>
  <si>
    <t>住院时没有运动的空间，一定要运动晒太阳，老在病房里病更重，给轻微病人一些力所能及的工作干一些，对病人恢复有帮助。</t>
  </si>
  <si>
    <t>每次让交多少钱就交多少，没有给打进清单，我们也没有要过</t>
  </si>
  <si>
    <t>辅助信息</t>
    <phoneticPr fontId="1" type="noConversion"/>
  </si>
  <si>
    <t>技术水平</t>
    <phoneticPr fontId="5" type="noConversion"/>
  </si>
  <si>
    <t>服务态度</t>
    <phoneticPr fontId="5" type="noConversion"/>
  </si>
  <si>
    <t>服务流程</t>
    <phoneticPr fontId="5" type="noConversion"/>
  </si>
  <si>
    <t>打电话预约说第二天号满了。当天过来挂号又有了，电话预约和实际挂号不符</t>
  </si>
  <si>
    <t>挂号排队久要半个小时</t>
  </si>
  <si>
    <t>网上预约很难挂到号，显示3个号打开来一个号都没有，上午想取消下午的号就取消不了</t>
  </si>
  <si>
    <t>网上预约挂号的单子上没有明确写明门诊在什么地方</t>
  </si>
  <si>
    <t>人工挂号排队时间太长都要等30几分钟，自助机挂号不是很灵敏</t>
  </si>
  <si>
    <t>网上预约挂号很难挂，每次都要提前一个星期左右才能挂到</t>
  </si>
  <si>
    <t>预约挂号难，中医儿科，医生说三天后来复诊，三天后来了没号了，要5,6天</t>
  </si>
  <si>
    <t>好的医生预约挂号很难</t>
  </si>
  <si>
    <t>网上预约经常挂不到号，太难</t>
  </si>
  <si>
    <t>儿童中医门诊挂号很难，一些名医晚上不能预约挂号</t>
  </si>
  <si>
    <t>妇科专家号难挂号，要提前一两个星期才能挂上</t>
  </si>
  <si>
    <t>挂号费用不明确，淡紫色的费用都看不懂</t>
  </si>
  <si>
    <t>专家号太难挂，都要提前两个星期才能挂的上</t>
  </si>
  <si>
    <t>当天来挂号不好挂，要排队很长，时间很久</t>
  </si>
  <si>
    <t>有时挂专家号很难挂</t>
  </si>
  <si>
    <t>挂号那边不能刷卡只能去自助挂号机挂，自助挂号机不会使用要找人帮忙</t>
  </si>
  <si>
    <t>挂号的缴费与取号的流程不顺畅</t>
  </si>
  <si>
    <t>当天过来挂号基本挂不到，挂号太难，现场挂中医没号了</t>
  </si>
  <si>
    <t>挂号排队人太多，窗口太少</t>
  </si>
  <si>
    <t>没有入户的孩子不能凭家长预约挂号</t>
  </si>
  <si>
    <t>挂号排队人太多了等的有点久病情急等了20分钟，插队才挂到号</t>
    <phoneticPr fontId="5" type="noConversion"/>
  </si>
  <si>
    <t>现场挂号等的时间久要十几分钟</t>
  </si>
  <si>
    <t>挂专家号太难等了一个多星期</t>
  </si>
  <si>
    <t>网上预约挂号开放的时间太迟，号子少，挂号不方便，觉得如果医院有门诊号网上就可以随时挂。</t>
  </si>
  <si>
    <t>挂急诊速度慢</t>
  </si>
  <si>
    <t>专家号太少，网上挂号号子少，比较难挂</t>
  </si>
  <si>
    <t>儿科专家号太难挂，提前好几天都挂不上</t>
  </si>
  <si>
    <t>专家号难挂，网上提前一两个星期预约都不能挂到，专家号子太少了</t>
  </si>
  <si>
    <t>挂号不方便每次挂号都要去楼，希望在2楼也能有挂号窗口</t>
    <phoneticPr fontId="5" type="noConversion"/>
  </si>
  <si>
    <t>网上预约挂号挂不了</t>
  </si>
  <si>
    <t>候诊时间太久，一般要等3个小时，中医妇科</t>
  </si>
  <si>
    <t>有乱插队现象，一群人围着医生看病，没有病人隐私</t>
  </si>
  <si>
    <t>候诊等的时间比较久，要半小时左右</t>
  </si>
  <si>
    <t>候诊等的时间比较久，人不多的情况下要等半小时，人多就要等个多小时</t>
  </si>
  <si>
    <t>候诊等的久，最少要3个小时，还有插队现象</t>
  </si>
  <si>
    <t>很多人插队，等的也久要一个多小时</t>
  </si>
  <si>
    <t>病患扎堆在门诊内影响医生看病</t>
  </si>
  <si>
    <t>等的时间久要半个多小时</t>
  </si>
  <si>
    <t>有人插队等的时间久都要等个小时</t>
  </si>
  <si>
    <t>等的时间太久，要一个多小时，人太多了</t>
  </si>
  <si>
    <t>候诊的时候病人乱插队不按号看病</t>
  </si>
  <si>
    <t>预约挂号来看病要提前到要是晚到会放入一个黑名单内，提前20分钟到医院候诊又要等半个多小时</t>
    <phoneticPr fontId="5" type="noConversion"/>
  </si>
  <si>
    <t>儿科门诊候诊等待时间长每次都要等一个多小时</t>
  </si>
  <si>
    <t>产科候诊时间太长每次都要等一两个小时</t>
  </si>
  <si>
    <t>候诊等候时间太长每次都要一两个小时</t>
  </si>
  <si>
    <t>候诊等候时间太长都等了好几个小时，看病也不叫号都不知道有没有轮到</t>
  </si>
  <si>
    <t>和医生熟的病人先看病，直接插队现象很多</t>
  </si>
  <si>
    <t>等的时间太久，一两个小时，等号等了3个小时下去买了一瓶水，号就过期了，中医儿科</t>
  </si>
  <si>
    <t>等的久，一般要2,3小时中医妇科</t>
    <phoneticPr fontId="5" type="noConversion"/>
  </si>
  <si>
    <t>十点的号，点才能看到医生，晚了一个钟头，等的时间太久</t>
  </si>
  <si>
    <t>所有病人都挤在一个病房看病，太乱了</t>
  </si>
  <si>
    <t>等的久，半个小时到一个小时</t>
  </si>
  <si>
    <t>耳鼻喉科，只有一个医生上班，人很多，而且不是周末，周一到周五应该医生多点</t>
  </si>
  <si>
    <t>妇科候诊等待时间太长，每次都要等好几个小时，对插队现象，没有人维持秩序</t>
  </si>
  <si>
    <t>医生在看病的时候，缴费刷卡的四核没有跟病人说清楚要打单子，太麻烦了</t>
  </si>
  <si>
    <t>候诊等待时间太久，每次看要一两个小时，房间内人很多，太吵听不到说什么</t>
  </si>
  <si>
    <t>候诊时间太长，大概都要两三小时</t>
  </si>
  <si>
    <t>候诊等候时间太长，等了大概都要两个小时了</t>
  </si>
  <si>
    <t>妇科休诊时间太长，都要一两个小时</t>
  </si>
  <si>
    <t>候诊等待时间过长，都要等一两个小时，乱插队</t>
  </si>
  <si>
    <t>候诊不按号来就诊，候诊人太乱都一窝蜂窝在房间内</t>
  </si>
  <si>
    <t>候诊时间太长都等一个小时</t>
  </si>
  <si>
    <t>排号就诊顺序混乱</t>
  </si>
  <si>
    <t>门诊室内谁都进去没轮到看的也进去，太乱了</t>
  </si>
  <si>
    <t>候诊等太久要半个多小时</t>
  </si>
  <si>
    <t>候诊等的有点久要20分钟</t>
    <phoneticPr fontId="5" type="noConversion"/>
  </si>
  <si>
    <t>与预约时间不符要多等一个多小时觉得有插队现象</t>
  </si>
  <si>
    <t>候诊等的太久，要半个多小时</t>
  </si>
  <si>
    <t>与预约时间不符，多等起码一个小时</t>
  </si>
  <si>
    <t>预约时间与实际看到医生的时间不符</t>
  </si>
  <si>
    <t>候诊等候时间长，来一次都要等2个小时，候诊没有秩序，有插队情况</t>
    <phoneticPr fontId="5" type="noConversion"/>
  </si>
  <si>
    <t>候诊时间太久，每次都要等个小时</t>
  </si>
  <si>
    <t>候诊时间和预约时间不相对，预约时间到了，还有很多病人在前面排队</t>
  </si>
  <si>
    <t>候诊等待时间太长，每次来都要等个小时以上</t>
  </si>
  <si>
    <t>等待时间太长，有出现插队情况，没有秩序</t>
  </si>
  <si>
    <t>候诊的患者没有叫到号的都到医生的诊室里面去看病，诊室里面人又多，秩序乱，有乱插队的现象。这个医院的叫号机没有别的医院的叫号机叫的清楚</t>
  </si>
  <si>
    <t>候诊的时间要很长，都要等2个小时</t>
    <phoneticPr fontId="5" type="noConversion"/>
  </si>
  <si>
    <t>患者太多，候诊时间太久，都等了一两个小时了</t>
  </si>
  <si>
    <t>候诊的时间太久了，等了2个多小时</t>
    <phoneticPr fontId="5" type="noConversion"/>
  </si>
  <si>
    <t>候诊时间太长，每次来都要等一两个小时</t>
  </si>
  <si>
    <t>候诊的时候有插队情况，不按照序号就诊</t>
  </si>
  <si>
    <t>候诊时间太久，都等了30分钟了</t>
  </si>
  <si>
    <t>预约挂号时间和实际时间不符，实际时间超过预约的就诊时间</t>
  </si>
  <si>
    <t>不能刷信用卡只能刷储蓄卡，有点，麻烦</t>
  </si>
  <si>
    <t>卡里有余额可以直接扣的，但是要到收费处再刷一次，系统不成熟没更新</t>
  </si>
  <si>
    <t>五楼自助机现金不能放，别的医院可以支付宝直接支付，比较方便</t>
  </si>
  <si>
    <t>打针费用，打三天，希望能一次性交了，就不用打一次交一次</t>
  </si>
  <si>
    <t>人工缴费处不能刷卡</t>
  </si>
  <si>
    <t>缴费不能刷卡要去机子上充值很麻烦</t>
  </si>
  <si>
    <t>患者太多，缴费不是很方便，要排很长时间的队伍</t>
  </si>
  <si>
    <t>其他医院都可以用支付宝付款的，单子打出来就可以直接缴费，这个医院还要来回跑来跑去。</t>
  </si>
  <si>
    <t>缴费不方便，我不懂怎么用机器缴费，要跑上跑下的</t>
  </si>
  <si>
    <t>等的时间久，取核磁共振片子等了三天才拿到</t>
  </si>
  <si>
    <t>做B超等候时间长，大概要等一个多小时</t>
  </si>
  <si>
    <t>皮试检查秩序乱，没有排队，医护人员没有维持秩序</t>
  </si>
  <si>
    <t>B超在5楼抽血在一楼做检查跑来跑去很麻烦</t>
  </si>
  <si>
    <t>时间久做CT至少半个小时</t>
  </si>
  <si>
    <t>在等候做B超的时候问护士还要多久才能轮到自己，护士说看不到时间，觉得非常麻烦</t>
  </si>
  <si>
    <t>医生让患者做B超，不能当天做，还要预约，很麻烦</t>
  </si>
  <si>
    <t>化验时间久，验血，B超效率慢</t>
  </si>
  <si>
    <t>验大便，等的久，等了</t>
  </si>
  <si>
    <t>化验（抽血）只有一个人，排队很长，楼下不能排队，很麻烦</t>
  </si>
  <si>
    <t>对应的窗口过多无明显标识无法甄别</t>
  </si>
  <si>
    <t>等的太久，尿常规检查等了一个半小时</t>
  </si>
  <si>
    <t>时间太久，验血要个小时</t>
  </si>
  <si>
    <t>做皮试就一个人等了很久等了0多分钟</t>
  </si>
  <si>
    <t>化验等候时间太长，要等</t>
  </si>
  <si>
    <t>化验等待时间太长，要等</t>
  </si>
  <si>
    <t>等候化验时间太长，抽血要等40分钟</t>
  </si>
  <si>
    <t>时间比较久，拿片等待最少也要十几分钟</t>
  </si>
  <si>
    <t>等待时间太久，尿检单要等一个半小时</t>
  </si>
  <si>
    <t>等的时间太久要</t>
  </si>
  <si>
    <t>等的时间比较久，验血单要等半天</t>
  </si>
  <si>
    <t>等的时间久，取验血化验单要一两个小时</t>
  </si>
  <si>
    <t>取单时间太久都要好几天才能取</t>
  </si>
  <si>
    <t>等待取单时间太久，化验结果太慢，一个上午时间浪费在这上面</t>
  </si>
  <si>
    <t>取单时间太久都要好几天</t>
  </si>
  <si>
    <t>等的时间久，抽血单等了两三天</t>
  </si>
  <si>
    <t>取单时间慢，要好几个小时</t>
  </si>
  <si>
    <t>去化验单时间太长，都要好几天才能拿</t>
  </si>
  <si>
    <t>等化验单时间长，最少都要一个多小时</t>
  </si>
  <si>
    <t>化验单取单时间太久，都要等4,5天</t>
  </si>
  <si>
    <t>取单时间等的久，验血单至少要个小时才能取</t>
  </si>
  <si>
    <t>之前来体检要4个工作日才有结果时间有点久</t>
  </si>
  <si>
    <t>取单等的时间久，住的远的人不方便，从早上等到下午</t>
  </si>
  <si>
    <t>取单太慢了至少要等半个小时到一个小时，拍片，验血</t>
  </si>
  <si>
    <t>一个单子星期一拿，另一个单子等八九天后拿，很不方便，相隔太久等太久</t>
  </si>
  <si>
    <t>等的时间久最少要半个小时，验血单</t>
  </si>
  <si>
    <t>等的时间久，大概要两个半小时</t>
  </si>
  <si>
    <t>取单太慢要隔天才能拿，远的人不方便</t>
  </si>
  <si>
    <t>取单等候时间太久，都要等半个小时</t>
  </si>
  <si>
    <t>取单等待时间太长，都要等</t>
  </si>
  <si>
    <t>在取单机上查询了几次都暂时没有结果，但是去导医台那边打印却已经出结果了。</t>
  </si>
  <si>
    <t>取单还要跑到一楼去，太麻烦</t>
  </si>
  <si>
    <t>有的化验结果不能当天拿，比如说宫检，要第二次来拿，觉得很麻烦</t>
  </si>
  <si>
    <t>等候取单时间太长，要等将近</t>
  </si>
  <si>
    <t>在一楼取药取不到要跑到另外一栋楼，自己一个人带着孩子取药很麻烦</t>
  </si>
  <si>
    <t>有时在一楼儿童门诊取药，有时又要跑到隔壁楼取药，取药不固定</t>
  </si>
  <si>
    <t>取中药比较慢看完病后花很长时间在等取药有时候要从上午等到下午</t>
  </si>
  <si>
    <t>取药不方便要跑到儿科门诊去取</t>
  </si>
  <si>
    <t>等的久，至少要一个小时，中药</t>
  </si>
  <si>
    <t>等的久，中药至少要半个小时以上</t>
  </si>
  <si>
    <t>等的久，中药药一个多小时</t>
  </si>
  <si>
    <t>打药水取药水还要来回楼上楼下跑，一个人带孩子看病很麻烦</t>
  </si>
  <si>
    <t>取中药要等很久，一两个小时</t>
  </si>
  <si>
    <t>医生那边开完药直接去拿药，打单打完之后再取药很麻烦</t>
  </si>
  <si>
    <t>护士没说清楚，等的时间久楼上楼下跑要半个多小时</t>
  </si>
  <si>
    <t>医生开了药去一楼取药还要回到三楼麻烦</t>
  </si>
  <si>
    <t>下午下班来取中药来迟了药房关门了</t>
  </si>
  <si>
    <t>取中药颗粒要两个小时，太久</t>
  </si>
  <si>
    <t>取中药速度太慢，都要等上个小时左右</t>
  </si>
  <si>
    <t>取药窗口数字标示可以大一点，太小了都看不清楚</t>
  </si>
  <si>
    <t>取中药时间太久，最起码都要一两个小时</t>
  </si>
  <si>
    <t>取盐水只能在</t>
  </si>
  <si>
    <t>医院没有四维彩超，我们老家都有</t>
  </si>
  <si>
    <t>中药取药时间太久，大半天时间都花在等药的时间上</t>
  </si>
  <si>
    <t>打屁股针护士少，人多的情况下等的时间久</t>
  </si>
  <si>
    <t>叫号机都没有用的，要自己去看医生就诊有没有轮到自己</t>
  </si>
  <si>
    <t>医院志愿者太少，希望增加志愿者指引</t>
  </si>
  <si>
    <t>就诊不按顺序来，有插队情况，比较混乱</t>
  </si>
  <si>
    <t>就诊就诊的时候有看到其他医生带着没有挂号的病人来就诊，没有按照顺序就诊，不合理</t>
  </si>
  <si>
    <t>输液输液要换药水，要自己把药水拿过去给护士换。</t>
  </si>
  <si>
    <t>就诊医生诊室里面有很多病人挤在一起，觉得非常乱</t>
  </si>
  <si>
    <t>病人问什么科室在哪，导医不会引导病人路怎么走只会手指一下</t>
  </si>
  <si>
    <t>一楼导医的服务态度差病人取单不知道怎么取问她怎么取她说自己不会看</t>
  </si>
  <si>
    <t>三楼导医的态度太差，有一次问她问题她爱理不理不耐烦摆着一张臭脸</t>
  </si>
  <si>
    <t>五楼导医服务态度不好，说话语气不是很好，问一句理都不理</t>
  </si>
  <si>
    <t>二楼的导医对待病人的提问都很不耐烦，态度比较冷漠</t>
  </si>
  <si>
    <t>三楼的护士对待病人的态度比较冷漠</t>
  </si>
  <si>
    <t>导医的态度差，爱理不理的</t>
  </si>
  <si>
    <t>儿科的导医工作人员态度不好，有一次有问题询问他，爱理不理的，说患者自己找的到还问她</t>
  </si>
  <si>
    <t>导医台工作人员态度不是很热情</t>
  </si>
  <si>
    <t>儿科导医工作人员态度很凶，都不能问他们问题，一个个爱理不理的样子，也不耐烦，问导医人员问题，回答也不回答的，直接用手一指</t>
  </si>
  <si>
    <t>一楼的导医态度不好，我不知道怎么挂号，多问了几次，就不耐烦了</t>
  </si>
  <si>
    <t>输液室护士估计</t>
  </si>
  <si>
    <t>个别护士问她问题她不耐烦语气比较强硬</t>
  </si>
  <si>
    <t>问题问多了，护士会不耐烦</t>
  </si>
  <si>
    <t>护士多问点问题态度就有点不耐烦了</t>
  </si>
  <si>
    <t>五楼做B超的护士对待病人不耐心问她问题爱理不理的，表现的跟她没关系样的</t>
  </si>
  <si>
    <t>输液室的护士态度不好对待小孩不够耐心，有一次小孩输液哭的比较大声护士马上就大声的说让小孩不要哭了吵着别人</t>
  </si>
  <si>
    <t>护士应该主动帮助病人把体温量了，再看医生，但是没有，应该更主动点</t>
  </si>
  <si>
    <t>分诊个别护士对待病人不耐烦</t>
  </si>
  <si>
    <t>门诊有个别护士态度不是很好，对待病人比较不耐烦</t>
  </si>
  <si>
    <t>二楼的导医对病人比较不耐烦，问她问题也不耐烦，我们又不懂，不知道问谁</t>
  </si>
  <si>
    <t>儿科门诊护士对待小孩不够有耐心，每次有小孩都表现不耐烦</t>
  </si>
  <si>
    <t>有次发烧过来护士态度很恶劣</t>
  </si>
  <si>
    <t>有时候问护士态度很不耐烦，不理睬</t>
  </si>
  <si>
    <t>分诊护士不耐烦，没问清楚再问一句就不理病人</t>
  </si>
  <si>
    <t>输液室护士态度不好，比较冷漠，拔针动作比较粗暴</t>
  </si>
  <si>
    <t>分诊台护士态度不够热情</t>
  </si>
  <si>
    <t>一楼急诊护士玩手机孩子高烧不理也不检查，发火了以后才检查</t>
  </si>
  <si>
    <t>输液时输液很慢问护士能不能输快点，护士说自己调，态度比较冷漠不热情</t>
  </si>
  <si>
    <t>B超预约处护士态度挺凶的，多问几句就不耐烦</t>
  </si>
  <si>
    <t>儿科输液护士态度不好，对待病人不耐心，脾气又大，不能够多问一句</t>
  </si>
  <si>
    <t>急诊的护士态度冷漠，问护士问题不理不睬，说太烦，还说我们患者没有常识</t>
  </si>
  <si>
    <t>儿科的护士太不不好，问护士问题理都不理你，要不就说不知道</t>
  </si>
  <si>
    <t>输液的护士态度很凶，有一次小孩子头上输液，针很难挂上去，我让护士帮一下，护士说你不会自己弄的啊，态度很凶</t>
  </si>
  <si>
    <t>我不懂的如何用机器去缴费，去缴费的时候护士也没和我说清楚怎么缴费，她还说我烦死了，态度不耐烦的，害的我抱着个小孩跑来跑去的。</t>
  </si>
  <si>
    <t>输液室护士态度不好</t>
  </si>
  <si>
    <t>分诊台护士对病人爱理不理的，没有认真回答病人提出的问题</t>
  </si>
  <si>
    <t>医生看诊时间太短没有把病情说清楚，</t>
  </si>
  <si>
    <t>去医生那看病，医生说当天下午人够了不看了，态度不好，（儿童内科女的）</t>
  </si>
  <si>
    <t>妇科西医女的说话语气很冲，没有耐心</t>
  </si>
  <si>
    <t>儿科专家医生看病态度不耐烦，患者问她问题她在玩手机理都不理</t>
  </si>
  <si>
    <t>儿科医生对待病人不够耐心都不能多问一句多问一句就马上不耐烦</t>
  </si>
  <si>
    <t>医生看病时有点马虎，说孩子胃口不好，看都不看直接就配药了</t>
  </si>
  <si>
    <t>有挂号失误现象，恳求医生晚点下班多看几分钟，孩子病情急，医生不肯。中医儿科，周怡，女</t>
  </si>
  <si>
    <t>儿科的医生对待病人态度很凶，我们看病本来心情就不好，碰到的医生态度比较消极，不够热情</t>
  </si>
  <si>
    <t>皮肤科医生对待病人没有耐心都不能多问一句</t>
  </si>
  <si>
    <t>医生开化验单病人觉得没必要，医生态度就很差不耐烦（儿科西医)</t>
  </si>
  <si>
    <t>个别医生问他也不吭声也不说什么病不理病人只管自己开药（急诊）</t>
  </si>
  <si>
    <t>有些医生病人问多了就不耐烦</t>
  </si>
  <si>
    <t>医生不负责任，药开少了自己也没发现，病人自己跑两趟医院（西医儿科）</t>
  </si>
  <si>
    <t>有一些年纪比较大的患者问医生问题，问的多一点，医生就开始不耐烦了</t>
  </si>
  <si>
    <t>挂中医号子等了一上午，等到快要到自己就诊的时候，医生就要到下班时间了，一句话就把患者给打发了</t>
  </si>
  <si>
    <t>问尿检检查人员时间要多久，说自己去看，态度有点强硬，语气不太好</t>
  </si>
  <si>
    <t>做B超的人员有时候问她问题都是爱理不理</t>
  </si>
  <si>
    <t>B超人员的服务态度不是很好，每次都要赶病人好像有很急的事情一样</t>
  </si>
  <si>
    <t>病人问问题回答不详细，态度一般</t>
  </si>
  <si>
    <t>做B超的人员态度不好，都好几次了，问她问题好像没有听到一样，爱理不理</t>
  </si>
  <si>
    <t>做B超的人员对待病人不耐心，态度冷淡，不能够问一句的，很不耐烦的，让你走</t>
  </si>
  <si>
    <t>拍片人员都做B超时，问她问题都比较不耐烦，态度冷漠问她问题不回答</t>
  </si>
  <si>
    <t>讲话不怎么有礼貌</t>
  </si>
  <si>
    <t>化验人员态度真的不好，问她问题，爱理不理的，问一句态度就很凶，说自己不会看的</t>
  </si>
  <si>
    <t>化验工作态度不好，对病人不耐心，态度是不耐烦的，问他们问题，他们也不回答，就用手指了一下</t>
  </si>
  <si>
    <t>化验人员服务态度不好，患者不懂的问题问他们一下，他们都不耐烦，不愿意回答问题</t>
  </si>
  <si>
    <t>做B超的工作人员态度不好，我是第一次去做B超，她就一直催，对我的态度很凶</t>
  </si>
  <si>
    <t>态度不好，服务差，小孩拉肚子她说拉地下了让病人扔垃圾，工作不到位</t>
  </si>
  <si>
    <t>保洁态度不是很好很凶，有一次病人女儿来不及拉小便就拉倒地上，保洁就很凶的说不是有卫生间的，病人也知道拉地上不好本来就要拿拖把自己拖</t>
  </si>
  <si>
    <t>扫地的扫把直接扫座椅上，看到过两次了</t>
  </si>
  <si>
    <t>让保洁换床单她就啰里啰嗦，换是换的，态度不好，背后啰里啰嗦</t>
  </si>
  <si>
    <t>停车保安指挥的时候态度不好</t>
  </si>
  <si>
    <t>保安的态度差，又一次早上来看病，明明里面还有停车位，保安却不让我进去停，态度还很凶的，还说就是没有车位</t>
  </si>
  <si>
    <t>停车场保安语气态度不是很好</t>
  </si>
  <si>
    <t>挂号收费处有时病人听不清再问一遍工作人员就很不耐烦，语气冲</t>
  </si>
  <si>
    <t>收费窗口人员态度太凶，病人缴费不懂问她下她就很凶的说下面不是有说明自己看</t>
  </si>
  <si>
    <t>挂号窗口的人员对待病人不耐烦，好像求他办事</t>
  </si>
  <si>
    <t>挂号窗口工作人员不够亲切，态度比较冷漠</t>
  </si>
  <si>
    <t>挂号人员的语气不好，我上次挂号充值，她说你没病充那么多钱干嘛</t>
  </si>
  <si>
    <t>医生临床水平不够，看了一年多病没有完全看好，中医妇科</t>
  </si>
  <si>
    <t>月经不调量比较少看了之后没好转反而月经不来了</t>
  </si>
  <si>
    <t>医生不能完全诊清楚病情，太依赖设备，患者不能及时治疗</t>
  </si>
  <si>
    <t>孩子就一个咳嗽看了十几天了还是没有看好</t>
  </si>
  <si>
    <t>专家医生偏少，缺少骨干力量</t>
  </si>
  <si>
    <t>医生只让病人检查，做胃镜，每个医生让检查的都不一样，医生比较依赖机器检查出来的，都是很小的问题</t>
  </si>
  <si>
    <t>人太多的时候病情说的不是很仔细，看妇科的时候医生稍微看了下就直接开了药说下次再来看</t>
  </si>
  <si>
    <t>中医内科一个副主任医生没有把脉就叫病人去抓药，看病不认真</t>
  </si>
  <si>
    <t>不同的病人开出的药都一样的</t>
  </si>
  <si>
    <t>听身边朋友说有诊断失误，到了附一以后才诊断正确</t>
  </si>
  <si>
    <t>急诊医生看病的判断和附二医那边的医生判断完全不一样，结果是附二医看好了</t>
  </si>
  <si>
    <t>上一次我女儿发烧去看急诊，急诊医生也没说要来复诊，我也不知道，弄的我女儿的二天更严重了</t>
  </si>
  <si>
    <t>有一些医生看病都不怎么明确诊断，办事拖拖拉拉</t>
  </si>
  <si>
    <t>以前看到的时候医生看的不够仔细没有对症下药</t>
  </si>
  <si>
    <t>妇科医生拔比较简单的病看的复杂化</t>
  </si>
  <si>
    <t>一个简单的感冒看了一个多月都没看好</t>
  </si>
  <si>
    <t>医生检验单乱开，孩子有点发烧，白细胞检验医生开了两次，验血单还有验大便，感觉没必要开</t>
  </si>
  <si>
    <t>专业性不够，不太专业，问医生可以配另外一种药吗，医生反问病人说要么你开，医生没有按照实际病情开药</t>
  </si>
  <si>
    <t>医生看病时对病情说的不够详细</t>
  </si>
  <si>
    <t>皮肤科的医生说我这个病情他看不了，让我去疾病检测中心去看，也没说清楚什么原因</t>
  </si>
  <si>
    <t>妇科来看了好几次了，都没有看好，医生都说下次还要来看，觉得医生的技术不行</t>
  </si>
  <si>
    <t>患者的病情希望医生能够说的详细一些，清楚一些，每次过来就诊就像流水线一样的，看病马上就看好了，病情也不说详细的。</t>
  </si>
  <si>
    <t>某些医生看病的时候都不问患者病情</t>
  </si>
  <si>
    <t>我儿子看了好几天病情都没有好起来，开了药也没有用，反而严重起来，医生没有按病症开药，药物没有针对病情。</t>
  </si>
  <si>
    <t>医生和病人病情解释的不够详细，看都没有看完，药都已经开出来了</t>
  </si>
  <si>
    <t>我问妇科的医生是否需要做B操，医生让我去问做B操的工作人员，太不专业了</t>
  </si>
  <si>
    <t>中医看了好几个月了病情都没有好转，觉得是医生没有按照病症来开药。</t>
  </si>
  <si>
    <t>只是一个感染，就诊一个月了都没有治好，只是控制住了病情，达不到心里的预期效果</t>
  </si>
  <si>
    <t>出诊医生旁边有一个实习医生，做妇检手法不熟，患者能感受到疼痛。</t>
  </si>
  <si>
    <t>有部分医生经验不足，看的不仔细，看病的速度太快了，没有和病人解释的很清楚</t>
  </si>
  <si>
    <t>个别输液室护士扎针扎的不准，应该是实习护士</t>
  </si>
  <si>
    <t>输液室护士扎针不准，孩子每次要扎4,5针才能扎准</t>
  </si>
  <si>
    <t>二楼输液室护士扎针不准扎了好几次</t>
  </si>
  <si>
    <t>输液室护士扎针不准，手都肿了</t>
  </si>
  <si>
    <t>儿童门诊护士扎针不准</t>
  </si>
  <si>
    <t>有时候儿科护士打针打不进去要打好几针才能打进去</t>
  </si>
  <si>
    <t>男护士打穴位针技术不是很好打针比较痛</t>
  </si>
  <si>
    <t>有一次小孩挂盐水一个护士扎针扎了好几次都没扎准盐水挂不进去，换了个护士扎盐水才挂进去</t>
  </si>
  <si>
    <t>输液室护士扎针不准</t>
  </si>
  <si>
    <t>打针的护士技术水平太差，打好几次都没打进去，我儿子的手都肿起来了</t>
  </si>
  <si>
    <t>住院部的护士明明抽了六次血，却收了八次钱</t>
  </si>
  <si>
    <t>挂盐水的护士水平打了好几次都没有能打进去，换了个老护士才能打进去</t>
  </si>
  <si>
    <t>输液室的护士拔针很痛动作粗暴</t>
  </si>
  <si>
    <t>孩子输液手都肿了，输液室护士拔针不专注看都没看就拔了</t>
  </si>
  <si>
    <t>输液室护士扎针扎不准，扎的鼓包了，扎了两次才扎准</t>
  </si>
  <si>
    <t>护士扎针扎头，头都肿了，让她来也不来结果自己抱孩子过去，也从来不巡查病人输液情况大爷一样坐着，态度很恶劣说话很那听</t>
  </si>
  <si>
    <t>护士扎针不太准，有次扎针扎了两次，手都肿起来了</t>
  </si>
  <si>
    <t>输液室护士扎针不准每次要多扎好几下</t>
  </si>
  <si>
    <t>输液的护士技术水平不行，连血管都找不到，扎了好几次</t>
  </si>
  <si>
    <t>输液的护士技术太差，有一次输液打了好几次都没打进去，手都肿了</t>
  </si>
  <si>
    <t>输液的护士没有和患者说这个输液是不能空腹输的，输液的速度上也要慢，导致患者输液时胃非常难受，结果拔了又重新输。</t>
  </si>
  <si>
    <t>输液室的护士拔针的时候动作比较粗鲁，血都有溅出来。</t>
  </si>
  <si>
    <t>检查人员检查完以后应该和病人说清楚化验单上的基础常识，什么情况</t>
  </si>
  <si>
    <t>检查不全面，抽血之类的有些没必要检查的项目过多</t>
  </si>
  <si>
    <t>做B超很快就结束了没有别的医院做的详细</t>
  </si>
  <si>
    <t>抽血的工作人员技术不行，血管都找不到，抽了好几次都没抽到，还是帮忙找了一名工作人员才成功的。</t>
  </si>
  <si>
    <t>B超室技术太差了，还说没有卵巢，明明生过孩子了。</t>
  </si>
  <si>
    <t>药房人员拿错了药给病人</t>
  </si>
  <si>
    <t>医院在施工，空气不好</t>
  </si>
  <si>
    <t>儿童门诊3楼候诊区门口好热没空调</t>
  </si>
  <si>
    <t>环境气味太浓了，不通风都是厕所的味道</t>
  </si>
  <si>
    <t>候诊区卫生太脏</t>
  </si>
  <si>
    <t>候诊区配药设施全面些，没有充电插头</t>
  </si>
  <si>
    <t>候诊区太乱</t>
  </si>
  <si>
    <t>有点臭，有味道还很吵</t>
  </si>
  <si>
    <t>候诊区太老旧了</t>
  </si>
  <si>
    <t>候诊区乱七八糟病人不按秩序排队，门上贴的分诊标识没用太小了也不够明显</t>
  </si>
  <si>
    <t>候诊区患者人太多，感觉乱，空气不流通</t>
  </si>
  <si>
    <t>候诊区一直在装修，老是改道，很麻烦</t>
  </si>
  <si>
    <t>标识不明显，儿童门诊输液室卫生间太少，</t>
  </si>
  <si>
    <t>卫生间气味比较浓</t>
  </si>
  <si>
    <t>卫生间有点脏，空间比较小没地方挂包</t>
  </si>
  <si>
    <t>卫生间比较脏</t>
  </si>
  <si>
    <t>卫生间不干净</t>
  </si>
  <si>
    <t>卫生间太脏了</t>
  </si>
  <si>
    <t>儿童卫生间太臭了</t>
  </si>
  <si>
    <t>气味太浓了，水龙头都坏的</t>
  </si>
  <si>
    <t>有异味且很脏</t>
  </si>
  <si>
    <t>医院所有卫生间不好，不是门坏就是太脏，厕所里没冲掉的不及时清扫，厕所内没有挂东西的挂钩</t>
  </si>
  <si>
    <t>三楼卫生间太臭太脏</t>
  </si>
  <si>
    <t>三楼卫生间太臭</t>
  </si>
  <si>
    <t>儿童卫生间地上都是水，容易滑倒</t>
  </si>
  <si>
    <t>儿童门诊二楼卫生间只有一个，搞不清男女</t>
  </si>
  <si>
    <t>儿童门诊一楼卫生间只有两个厕所，人多起来排队很麻烦，人多又很脏</t>
  </si>
  <si>
    <t>三楼卫生间实在是太臭了</t>
  </si>
  <si>
    <t>卫生间太丑太脏乱</t>
  </si>
  <si>
    <t>三楼卫生间太臭，整层都能闻到臭味</t>
  </si>
  <si>
    <t>儿童门诊的卫生间太臭了，不及时清扫</t>
  </si>
  <si>
    <t>三楼卫生间太黑，里面没有灯，味道也很难闻，走到很远都闻到</t>
  </si>
  <si>
    <t>儿科门诊卫生间太臭</t>
  </si>
  <si>
    <t>卫生间有异味太臭了</t>
  </si>
  <si>
    <t>太臭了，有异味</t>
  </si>
  <si>
    <t>地上有水，孕妇走路得很小心怕摔倒</t>
  </si>
  <si>
    <t>卫生间太老旧了</t>
  </si>
  <si>
    <t>儿童门诊二楼输液室卫生间太少</t>
  </si>
  <si>
    <t>卫生间太臭了，环境不好</t>
  </si>
  <si>
    <t>儿童门诊卫生间太少</t>
  </si>
  <si>
    <t>输液的时候去厕所没有放吊瓶的地方不太方便</t>
  </si>
  <si>
    <t>一楼卫生间脚踩冲很多人没冲，感应冲水不大，很臭很脏</t>
  </si>
  <si>
    <t>三楼卫生间太臭，整个楼层都能闻到一股味道</t>
  </si>
  <si>
    <t>急诊室那边的卫生间灯都没有，晚上去上厕所不方便</t>
  </si>
  <si>
    <t>卫生间能够增加一些放置盐水的钩子，方便病人。</t>
  </si>
  <si>
    <t>等的时间久</t>
  </si>
  <si>
    <t>电梯速度比较慢</t>
  </si>
  <si>
    <t>电梯标识不够明显</t>
  </si>
  <si>
    <t>电梯超慢，等的时间久</t>
  </si>
  <si>
    <t>速度太慢，人多拥挤</t>
  </si>
  <si>
    <t>电梯里没空调，人多就热了</t>
  </si>
  <si>
    <t>人比较多，电梯比较少，要等很久</t>
  </si>
  <si>
    <t>等的时间久，关门也很快，感觉比较危险</t>
  </si>
  <si>
    <t>二楼电梯坏了</t>
  </si>
  <si>
    <t>电梯台老旧了</t>
  </si>
  <si>
    <t>电梯速度太慢，住院部有的时候还会停止运营</t>
  </si>
  <si>
    <t>电梯数量太少</t>
  </si>
  <si>
    <t>电梯太少了，基本做货梯，觉得货梯里面不干净</t>
  </si>
  <si>
    <t>座椅太硬了</t>
  </si>
  <si>
    <t>座椅太破旧了</t>
  </si>
  <si>
    <t>座椅太少</t>
  </si>
  <si>
    <t>座椅好几张都是坏的</t>
  </si>
  <si>
    <t>座椅太少了而且坐的不舒服</t>
  </si>
  <si>
    <t>座椅太旧，很多都生锈了</t>
  </si>
  <si>
    <t>座椅太少了</t>
  </si>
  <si>
    <t>坐电梯感觉有些故障，医院不及时维修</t>
  </si>
  <si>
    <t>候诊区座椅太少</t>
  </si>
  <si>
    <t>座椅太少，每次都不够坐</t>
  </si>
  <si>
    <t>检查的地方座椅太少没地方坐</t>
  </si>
  <si>
    <t>太少了</t>
  </si>
  <si>
    <t>输液室座椅太旧了</t>
  </si>
  <si>
    <t>座椅太破旧了，儿童门诊二楼</t>
  </si>
  <si>
    <t>门诊门口座椅太少了</t>
  </si>
  <si>
    <t>抱着婴儿打针坐着有点不方便，儿童门诊，喂母乳脚都没办法伸，座椅两边都会碰着</t>
  </si>
  <si>
    <t>太旧了，感觉不太卫生</t>
  </si>
  <si>
    <t>座椅太少，都不够坐，尤其是妇科那边</t>
  </si>
  <si>
    <t>座椅太破</t>
  </si>
  <si>
    <t>座椅太旧了</t>
  </si>
  <si>
    <t>儿童门诊一楼大厅座椅太少了等化验单只能站着</t>
  </si>
  <si>
    <t>输液室只有坐的椅子没有床，身体状况不好的人只能坐着挂盐水</t>
  </si>
  <si>
    <t>有些区域没有座椅比如B超室进去的诊查室</t>
  </si>
  <si>
    <t>输液室座椅太矮了，对肝脏病人不太方便</t>
  </si>
  <si>
    <t>输液室座椅又老又旧还很硬</t>
  </si>
  <si>
    <t>候诊区座椅太少，病人多没地方坐</t>
  </si>
  <si>
    <t>输液室座椅太破旧了，都生锈了</t>
  </si>
  <si>
    <t>四楼验血处座椅太少，等的时间久没地方坐</t>
  </si>
  <si>
    <t>三楼妇科候诊座椅太少</t>
  </si>
  <si>
    <t>输液室座椅太破旧</t>
  </si>
  <si>
    <t>妇科候诊区座椅太少了</t>
  </si>
  <si>
    <t>候诊区座椅太少了</t>
  </si>
  <si>
    <t>八点半以后就开不进去了，说车位满了</t>
  </si>
  <si>
    <t>停车场满了车停不下</t>
  </si>
  <si>
    <t>医院停车位太少</t>
  </si>
  <si>
    <t>停车没位子</t>
  </si>
  <si>
    <t>停车位太少</t>
  </si>
  <si>
    <t>停车太难</t>
  </si>
  <si>
    <t>停车太难了</t>
  </si>
  <si>
    <t>车位太紧张</t>
  </si>
  <si>
    <t>停车位太少，每次来都要停很远的地方</t>
  </si>
  <si>
    <t>停车太难停</t>
  </si>
  <si>
    <t>停车位太少，停车不好停</t>
  </si>
  <si>
    <t>每次来，7,8点的样子，早上下午来，都是没有停车位了</t>
  </si>
  <si>
    <t>经常没位子停</t>
  </si>
  <si>
    <t>停车位太少了</t>
  </si>
  <si>
    <t>太少了，只能停门口，怕抄牌</t>
  </si>
  <si>
    <t>停车位太少不好停车</t>
  </si>
  <si>
    <t>停车位太少，停车不方便</t>
  </si>
  <si>
    <t>停车位比较少</t>
  </si>
  <si>
    <t>里面有车位保安不让进去说满了</t>
  </si>
  <si>
    <t>停车经常没位置</t>
  </si>
  <si>
    <t>停车太难了，没车位</t>
  </si>
  <si>
    <t>停车难停</t>
  </si>
  <si>
    <t>停车位还不够多</t>
  </si>
  <si>
    <t>停车位太少，每次来都听不了</t>
  </si>
  <si>
    <t>电瓶车停车都要收费，感觉不合理，不是钱的问题，是觉得这个制度不合理</t>
  </si>
  <si>
    <t>停车位太少，没有地方停车</t>
  </si>
  <si>
    <t>停车位太少，来的迟一点就没有地方可以停车了</t>
  </si>
  <si>
    <t>停车位太少，停车只能停在外面了</t>
  </si>
  <si>
    <t>停车比较难</t>
  </si>
  <si>
    <t>科室标识不清楚，难找</t>
  </si>
  <si>
    <t>导医人数太少了</t>
  </si>
  <si>
    <t>门诊科室分的不够详细</t>
  </si>
  <si>
    <t>没有便民超市在医院买东西不方便</t>
  </si>
  <si>
    <t>医院的卫生不好，过道太脏太乱</t>
  </si>
  <si>
    <t>导医人员太少了</t>
  </si>
  <si>
    <t>二楼儿童门诊不嗯给你现金存款</t>
  </si>
  <si>
    <t>希望电视能够清晰一带你，小孩子看也看不到</t>
  </si>
  <si>
    <t>儿童门诊一楼自助挂号机可以存钱楼上不能，孩子病情急的情况下很麻烦</t>
  </si>
  <si>
    <t>成人输液和儿童输液在一起太吵了</t>
  </si>
  <si>
    <t>输液室太吵了病人不能好好休息</t>
  </si>
  <si>
    <t>大人抱小孩输液输液室座椅坐着不方便</t>
  </si>
  <si>
    <t>小卖部，医院儿童门诊输液室边上缺少一个小卖部，希望增加一个，方便病人购买需要的东西，</t>
  </si>
  <si>
    <t>医生的诊室医生诊室的地板都发霉了，西医儿科感觉阴森森的</t>
  </si>
  <si>
    <t>导医人员都没有看到过导医的人眼</t>
  </si>
  <si>
    <t>自助挂号机自助挂号机功能不够完善，有部分挂号机不支持充值功能</t>
  </si>
  <si>
    <t>自助挂号机没有一个</t>
  </si>
  <si>
    <t>比较贵，一次要</t>
  </si>
  <si>
    <t>挂号偏贵，也不是主任医生一次要</t>
  </si>
  <si>
    <t>挂号一次</t>
  </si>
  <si>
    <t>挂号一次收</t>
  </si>
  <si>
    <t>挂号费要</t>
  </si>
  <si>
    <t>挂号要</t>
  </si>
  <si>
    <t>挂号有点贵，一次要</t>
  </si>
  <si>
    <t>有点贵，一次</t>
  </si>
  <si>
    <t>挂一次</t>
  </si>
  <si>
    <t>一次挂号就要</t>
  </si>
  <si>
    <t>挂号费每次都要</t>
  </si>
  <si>
    <t>挂号费不明确，挂号是</t>
  </si>
  <si>
    <t>挂号费贵每次挂号都要十几元</t>
  </si>
  <si>
    <t>挂号费太贵都要</t>
  </si>
  <si>
    <t>有点贵，一次要</t>
  </si>
  <si>
    <t>挂号费太贵，挂一次都要</t>
  </si>
  <si>
    <t>挂号太贵，十几元到二十几元</t>
  </si>
  <si>
    <t>太高了，基本挂一次要</t>
  </si>
  <si>
    <t>太贵了，挂一次号要</t>
  </si>
  <si>
    <t>偏贵，挂一次要</t>
  </si>
  <si>
    <t>医生应该主动告知患者卡里不低于</t>
  </si>
  <si>
    <t>偏高，挂一般的医生要5到</t>
  </si>
  <si>
    <t>挂号费比别的医院贵，要</t>
  </si>
  <si>
    <t>挂号费太贵，要</t>
  </si>
  <si>
    <t>挂号费用太贵，都要</t>
  </si>
  <si>
    <t>挂号费太贵，每次都要</t>
  </si>
  <si>
    <t>挂号费偏贵，要8元</t>
  </si>
  <si>
    <t>偏贵，看一次药要</t>
  </si>
  <si>
    <t>开一次药最少一两百，最多两种药</t>
  </si>
  <si>
    <t>有点贵，开一次药一般就要00多3种药左右</t>
  </si>
  <si>
    <t>看个小毛病开个药都要一百多</t>
  </si>
  <si>
    <t>西药中药都贵看一次都要一两百</t>
  </si>
  <si>
    <t>中药每次药费都要三百多</t>
  </si>
  <si>
    <t>有点贵，开一次药两三百</t>
  </si>
  <si>
    <t>有点贵，随随便便一盆很小的药就要40多，是很常见的冲剂</t>
  </si>
  <si>
    <t>中成药比较贵，一次就要</t>
  </si>
  <si>
    <t>有点贵，一次开药就要两三百，中药</t>
  </si>
  <si>
    <t>同样的药名，费用不一样，不知道是不是药的好坏</t>
  </si>
  <si>
    <t>有点贵，</t>
  </si>
  <si>
    <t>每次都要四五百</t>
  </si>
  <si>
    <t>每次都要两三百左右</t>
  </si>
  <si>
    <t>每次都要差不多800块</t>
  </si>
  <si>
    <t>太贵了，开一次就要两三百</t>
  </si>
  <si>
    <t>药费偏高同样的药比其他医院贵几块钱</t>
  </si>
  <si>
    <t>太贵了，6颗消炎药就要30几元，一次尿路感染药费就要400左右，还要检查复查</t>
  </si>
  <si>
    <t>偏高，简单的开一下就要两三百，两瓶药就要</t>
  </si>
  <si>
    <t>有的药太贵了，要一两百，只有三四种药</t>
  </si>
  <si>
    <t>偏贵，一个感冒至少要300就三四种药</t>
  </si>
  <si>
    <t>偏高，中西药合起来要</t>
  </si>
  <si>
    <t>有一些药太贵，看一次都要800多元</t>
  </si>
  <si>
    <t>中药、西药价格都贵，每次就诊都要花费</t>
  </si>
  <si>
    <t>有几种药的费用太高，一盒药都要</t>
  </si>
  <si>
    <t>有些药太贵，每次都要四五百元</t>
  </si>
  <si>
    <t>药物价格太贵了，每次都要三四百</t>
  </si>
  <si>
    <t>太贵，输液要00多块，两三种药药几十块钱</t>
  </si>
  <si>
    <t>药费偏高，打个吊瓶一瓶要80几元。</t>
  </si>
  <si>
    <t>打针太贵，平均一次要50元</t>
  </si>
  <si>
    <t>做磁共振很贵，一次要550元</t>
  </si>
  <si>
    <t>检查化验费也贵一次都要一两百</t>
  </si>
  <si>
    <t>检查每次随便做下都要好几百元</t>
  </si>
  <si>
    <t>一次抽血化验都要两百多</t>
  </si>
  <si>
    <t>化验费太高，每次都要两三百，就抽血也要那么贵</t>
  </si>
  <si>
    <t>一次化验都要两百</t>
  </si>
  <si>
    <t>化验费太贵，一次化验都要两三百，怎么会那么贵</t>
  </si>
  <si>
    <t>孕前检查做了600多，做的项目不多也都是些很普通的检查项目</t>
  </si>
  <si>
    <t>检验费太贵，一次就要两三百</t>
  </si>
  <si>
    <t>检验费太贵一次要三百多</t>
  </si>
  <si>
    <t>化验费太贵，一次要好几百，不知道为什么化验一次要那么贵</t>
  </si>
  <si>
    <t>化验费每次都要</t>
  </si>
  <si>
    <t>化验费太高，不明白化验怎么要这么多钱，化验一次就要两三百</t>
  </si>
  <si>
    <t>太贵了，</t>
  </si>
  <si>
    <t>一小时停车费太贵</t>
  </si>
  <si>
    <t>按小时收，过夜收费贵要</t>
  </si>
  <si>
    <t>不应该收费</t>
  </si>
  <si>
    <t>停车费按时收费比较贵</t>
  </si>
  <si>
    <t>停车费太贵不合理小时要5块</t>
  </si>
  <si>
    <t>病人来医院看病停车费不应该收</t>
  </si>
  <si>
    <t>收费太高，0之5元按时收费</t>
  </si>
  <si>
    <t>太贵了，按时收费，0到5元左右停一次车</t>
  </si>
  <si>
    <t>太贵了，停一天要</t>
  </si>
  <si>
    <t>按时收费太贵了</t>
  </si>
  <si>
    <t>新附一刷当天的病历卡不收停车费，中西医按时间收停车费</t>
  </si>
  <si>
    <t>比较贵，停一次要</t>
  </si>
  <si>
    <t>停车费收费太高，停的时间久可以收费价格低一点，现在停一天收费40多元</t>
  </si>
  <si>
    <t>价格偏贵</t>
  </si>
  <si>
    <t>都是来看病的，针对来就诊的患者或者家属，不收停车费</t>
  </si>
  <si>
    <t>手术费太高，一次就要一万多</t>
  </si>
  <si>
    <t>一个小手术就要一万多块</t>
  </si>
  <si>
    <t>本医院的药物品种太少，附一能够买到的药，在这个医院却买不到</t>
  </si>
  <si>
    <t>服务态度</t>
    <phoneticPr fontId="6" type="noConversion"/>
  </si>
  <si>
    <t>晚上打电话吓唬病人家属，白天已与病人家属说过病情，晚上还打电话说，让病人家属无法休息。解答问题不够耐心，主治医生怕担责任，生怕病人死在他手里，总想把病人推到别的科室里。</t>
  </si>
  <si>
    <t>护工不负责任，不是24小时在病人身边陪护，如果早些发现就不会死，就是一个肠堵，后来有过窒息的情况，才请护工24小时看护，可护工去外面与朋友聊天造成没有及时发现，后来旁边床发现才找医生抢救，医生说已有20多分钟没气了。</t>
  </si>
  <si>
    <t>病人需要换床单，态度很差还不给换</t>
  </si>
  <si>
    <t>技术水平</t>
    <phoneticPr fontId="6" type="noConversion"/>
  </si>
  <si>
    <t>住了20多天也没治好，现在人已走了，与大医院相比医生的技术水平欠缺</t>
  </si>
  <si>
    <t>床单不给换，病人的大便总弄到床上，想换一下床单不给换。</t>
  </si>
  <si>
    <t>服务流程</t>
    <phoneticPr fontId="6" type="noConversion"/>
  </si>
  <si>
    <t>办理出院手续很麻烦，填表要楼上楼下跑，搞了几个小时才办成功</t>
  </si>
  <si>
    <t>出院入院很麻烦，楼上楼下的跑</t>
  </si>
  <si>
    <t>楼上要去楼下办理手续，但是都是家人去办理的</t>
  </si>
  <si>
    <t>出院麻烦，要跑好几个地方盖章、打发票，不一次性说清楚</t>
  </si>
  <si>
    <t>出院结账要用押金单，如果押金单丢了很麻烦，电脑上有记录的，为什么要半年后才能给退</t>
  </si>
  <si>
    <t>签证很麻烦，楼上楼下的跑好几趟，需要找这找那的签字。</t>
  </si>
  <si>
    <t>护工不够勤快，最好再勤快些、主动些</t>
  </si>
  <si>
    <t>楼与楼串着走不太方便</t>
  </si>
  <si>
    <t>病人感冒了问医生，医生态度很不好</t>
  </si>
  <si>
    <t>态度不好，让护工帮助擦澡，然后护工说一些不愿意的话，让护工去买东西要去很长时间才回来。</t>
  </si>
  <si>
    <t>保洁态度差，拖地时会不让踩，态度不好，不让踩我们怎么走路</t>
  </si>
  <si>
    <t>床单住了4天就没换过，本来是生孩子下面就脏，还无法洗，然后还不给换床单，造成卫生很差。</t>
  </si>
  <si>
    <t>B超约的人态度差，问一些问题根本不理人</t>
  </si>
  <si>
    <t>B超出了的图像不懂问一下，态度很冷漠的说去问医生，病人心理很不舒服</t>
  </si>
  <si>
    <t>宝宝黄疸，医生也没有与母亲讲15.8黄疸很严重了，出院时医生都没有说</t>
  </si>
  <si>
    <t>孩子手上起泡不说，回家后发现的，弄破了流脓血了</t>
  </si>
  <si>
    <t>生孩子医生不负责任，医生不帮助产妇，不顾及产妇，技术不到位，这是第二个，第一个在老家安徽生产的，医生比这的医生要好</t>
  </si>
  <si>
    <t>医生剖腹产缝合的不好，有刀疤很难看，打软针第二天就肿了，造成手背现在有一个疤痕</t>
  </si>
  <si>
    <t>检查的不好造成出血现象</t>
  </si>
  <si>
    <t>打到皮上了，手背肿起来了，2天回家了还肿着那</t>
  </si>
  <si>
    <t>搞卫生的不到位，只擦中间两边不擦</t>
  </si>
  <si>
    <t>厕所卫生、垃圾桶放在洗澡的地方，墙皮很脏</t>
  </si>
  <si>
    <t>办理出院手续要跑来跑去的，尤其电梯不好等</t>
  </si>
  <si>
    <t>病人</t>
  </si>
  <si>
    <t>出院时走社保交代不清楚</t>
  </si>
  <si>
    <t>出院的手续比较麻烦，打发票报销要2个人的身份证，当时没带后又去一次才打出发票，还要按手印。</t>
  </si>
  <si>
    <t>病人交护士好长时间才过来，打盐水的事情护士说忙着那</t>
  </si>
  <si>
    <t>个别医生推辞，病人家属问医生病人的情况，不说还说自己忙，态度不够好。</t>
  </si>
  <si>
    <t>病人手术做完到病房，家人抬不动，就举手之劳的事情，叫楼道的护工帮一下忙不管，后来给了20元才帮助抬一下的</t>
  </si>
  <si>
    <t>护工有些不好，要加强管理，病人家属在他们表现很好，病人家属不在就去一边聊天了。</t>
  </si>
  <si>
    <t>病人住院时在14层创伤骨科，后来看不好要求转到脊椎科，不允许给病人的感觉同一家的，医院不是一个整体，全是为了挣钱不顾病的病状，不管病的病情。</t>
  </si>
  <si>
    <t>脚有问题，检查心脏等，医生开出的检查太多，病人认为根本不需要这么多的检查。</t>
  </si>
  <si>
    <t>手术做了一年多，去拆钢板，一打开说还没长好，也不知是技术的问题还是个人问题</t>
  </si>
  <si>
    <t>实习生打针不太好，扎两次以上是常有的</t>
  </si>
  <si>
    <t>有两个实习的扎手比较痛，还要扎好几次才扎好</t>
  </si>
  <si>
    <t>个别医生对病人态度冷漠，病人家属去问医生咨询一些问题，回答的也不确切，弄的病人家属不知所措</t>
  </si>
  <si>
    <t>病人多，楼道上也住着病人，病人要到房间里的卫生间上厕所，护工态度很不好，还不让楼道的病人上卫生间</t>
  </si>
  <si>
    <t>肌腱断了，做完手术后还不好，后来去别的医院看了一下，医生说病例进程写的不清楚，如何治疗等都不清楚，无法让别的医生接着治疗，然后又回这家医院去问一下，医生说他们医院的病例就这么样写。</t>
  </si>
  <si>
    <t>到现在还在肿，已经出院了有2个多月了</t>
  </si>
  <si>
    <t>新护士扎2针以上才能扎上，这方面要加强，不然病人很痛苦</t>
  </si>
  <si>
    <t>母亲说有时护士扎好几针才扎进去</t>
  </si>
  <si>
    <t>出院时必须早晨办理出院手续，不知为什么弄得家长手足无措</t>
  </si>
  <si>
    <t>个别护士问一些病情不回答，态度爱理不理的</t>
  </si>
  <si>
    <t>经常有一次不成功的，小孩血管不好找，护士的水平也要提高</t>
  </si>
  <si>
    <t>有扎了3次扎不进去的，孩子很受苦</t>
  </si>
  <si>
    <t>自己搞卫生，每天就搞一次</t>
  </si>
  <si>
    <t>住院第2、3天通知说交费，当时手里有卡但没有现金，给老公打电话说两个小时过来，他们说不行，耽误两个多小时。</t>
  </si>
  <si>
    <t>手续繁琐，不能一次性办理，需要跑上跑下，20多分钟一直没办完，办理流程不规范，楼下医生说办好了，楼上说不行，还得下楼去办理。</t>
  </si>
  <si>
    <t>病房的呼叫系统呼叫护士，护士反映速度慢，正常1-2分钟能过来，结果等了10分钟，家长很着急</t>
  </si>
  <si>
    <t>门诊护士态度不好，态度冷漠，多问几句就恼了，不搭理。</t>
  </si>
  <si>
    <t>在门诊打点滴，护士扎针两只手都扎了很多针，扎半个小时才找到该扎的部位，我很生气技术太差了。</t>
  </si>
  <si>
    <t>结账时要跑到楼下去结账，没有在一层里把手续全部办好</t>
  </si>
  <si>
    <t>楼上楼下跑，办理出院手续比较麻烦的</t>
  </si>
  <si>
    <t>楼上楼下的跑，孩子2个月抱着，早上6点钟就过去了，到中午才办完。</t>
  </si>
  <si>
    <t>出院付钱，拿药却不在一个地方，这样不方便而且要楼上楼下的跑。</t>
  </si>
  <si>
    <t>医生巡视时不是用门上的消毒棉把手消毒一下，孩子小就怕交叉感染。</t>
  </si>
  <si>
    <t>挂号不好挂，孩子经常生病，体质不好要经常去看</t>
  </si>
  <si>
    <t>问一些问题很不耐烦，年轻的护士口气非常不好，名字给忘了，但是说话态度太差，记的非常清楚。</t>
  </si>
  <si>
    <t>护士态度生硬，问一些问题不爱回答</t>
  </si>
  <si>
    <t>让她擦地板，脸黑着不愿意，有时自己拿进拖把自己擦。</t>
  </si>
  <si>
    <t>经常给孩子扎2次以上，这是没有办法的</t>
  </si>
  <si>
    <t>护士略差一些，一般的护士给孩子打针都要打2次以上，所以我们都去找护士长给打针。</t>
  </si>
  <si>
    <t>一般护士有技术不好的，要扎2次才可以，然后说是女儿的血管细不好扎</t>
  </si>
  <si>
    <t>病房里的床下不消毒</t>
  </si>
  <si>
    <t>晒衣服不方便，晒台还可以，但窗户小，不通风。</t>
  </si>
  <si>
    <t>办手续是要楼上楼下的跑，这个是有些不太好，最好是在一个地方把手续一起办成</t>
  </si>
  <si>
    <t>办理出院手续要从11层到1层去办，挺麻烦的</t>
  </si>
  <si>
    <t>住了一个星期花了9000多，有些贵，用不明确</t>
  </si>
  <si>
    <t>打麻药那个麻醉师打的不好，手术后一个星期头疼的不行，等麻药进去了才好受</t>
  </si>
  <si>
    <t>医生开出的检查的项太多</t>
  </si>
  <si>
    <t>做了手术出院第三天肚子疼的厉害，去找原来做手术的医生不在，后又去附2看了，附2医生说是上次手术血块没清理干净，堵上了。</t>
  </si>
  <si>
    <t>提高技术水平，医术不够好，出院后没有完全好</t>
  </si>
  <si>
    <t>进手术室时，扎针时药漏了，后来手术医生帮忙扎好</t>
  </si>
  <si>
    <t>出院手续没给办，最后连消炎药也没给</t>
  </si>
  <si>
    <t>住了好几次有的医生、护士比较冷漠，问一些问题不爱讲</t>
  </si>
  <si>
    <t>张医生态度不好，刚开始住进时告诉病人要2万，到第二天又要4万</t>
  </si>
  <si>
    <t>住了一个多月查不出病情，共住了3次都没检查出来，后来转到附2查出多发性骨髓瘤</t>
  </si>
  <si>
    <t>传统的接骨要加强，病人少受些罪，用钢板病人很痛苦，接钢板时很痛</t>
  </si>
  <si>
    <t>打针不太好，母亲的收都打肿了，不是一次就打好。</t>
  </si>
  <si>
    <t>实习生扎针要扎2次以上，这点要提高</t>
  </si>
  <si>
    <t>住院时有些繁琐，人在9层让去一层办理，办理的时间也比较长。</t>
  </si>
  <si>
    <t>打营养液，皮管掉进两次，护工不在病人身边待着，到外面聊天，每次去都看到护工不是玩手机就是护工之间相互串来串去聊天，每次给180元，这样的服务态度太差了，没有责任心。</t>
  </si>
  <si>
    <t>拔针时来了一个实习生，什么也不懂，把针拔出来血喷了出来有一寸高，当时真吓了一跳。</t>
  </si>
  <si>
    <t>护工总会有家属不在，不在病人旁边看护，聊天的现象</t>
  </si>
  <si>
    <t>住了有10天查不出原因，还是不好，技术水平不够，到现在还很痛，准备去别家医院看了</t>
  </si>
  <si>
    <t>一住进去就让做手术，还没确诊就让做手术，后来去附2医院了</t>
  </si>
  <si>
    <t>有两次扎2次成功，还一次扎跑了</t>
  </si>
  <si>
    <t>实习生扎针扎的不好，扎两次扎不好，就换技术好的护士一次就可以了。</t>
  </si>
  <si>
    <t>偶尔有漏针的，扎不进去的现象</t>
  </si>
  <si>
    <t>病服没有给分配，说没有了，只能穿自己的衣服，作为医院应统一配置，要不然难以保证卫生，也不规范。</t>
  </si>
  <si>
    <t>与病人吵架，护工脾气很大后来护士也说不要给护工钱了</t>
  </si>
  <si>
    <t>医生的技术水平差点，2个月住了没有见好，不见好也没有换过药，因此要求出院了</t>
  </si>
  <si>
    <t>没有康复就让出院了，在住院期间向医生反映我的左边疼痛，感觉床不平，医生说没事，贴上膏药躺上两周就自然好了，并且每天给掉水，我要求拍胸，腰，等CT出来以后，只给看了胸椎没有问题，其他没有。医生说都有了，没有让转入脊柱科，而是让出院了，腰椎没有复查，后来去其他医院说已拖延太长时间。</t>
  </si>
  <si>
    <t>医生的水平比附属1的医生水平欠缺点，确诊不敢下结论，看小病还可以，看大病就不行了。</t>
  </si>
  <si>
    <t>检查项目太多，去一个科室查同样的项目，重复检查，刚开始说是血糖高，后确诊阑尾炎</t>
  </si>
  <si>
    <t>无法确诊住了10天至今没有确诊，医生也说没有办法，到底什么原因，因此就无法对症下药。</t>
  </si>
  <si>
    <t>实习生冬冬打针打了3次打不进去，汗也出来了，别的病人怕他打针</t>
  </si>
  <si>
    <t>有的护士打针技术不太好，需打2针以上才好，造成病人手背青紫</t>
  </si>
  <si>
    <t>检查的设备太老化了</t>
  </si>
  <si>
    <t>床单不及时换，好几天才换一次，有时感觉太脏了，找他们换</t>
  </si>
  <si>
    <t>伙食费收重复的，开始在19层收了一次，后去6层又收一次。</t>
  </si>
  <si>
    <t>病人有痰护士不够及时的帮助病人把痰吸出来。</t>
  </si>
  <si>
    <t>出院2个多月没有电话回访过</t>
  </si>
  <si>
    <t>24层做检查结果出来问一下护士，情况不愿意讲</t>
  </si>
  <si>
    <t>有时护士、实习生找不到血管，血管细要扎好几针</t>
  </si>
  <si>
    <t>痰多要经常吸痰，口腔里处理了。可痰在肺里就没有细心的帮助吸出来，不像别家医院的护士，可以帮助肺里的痰吸出来。</t>
  </si>
  <si>
    <t>实现的扎了2针才扎好，这样对病人有些不好</t>
  </si>
  <si>
    <t>护士技术不好，年轻的扎好几次才扎好</t>
  </si>
  <si>
    <t>年轻的护士技术不好，病人的手背经常出血，肿的情况时有发生。</t>
  </si>
  <si>
    <t>卫生太差，气味很难闻，病人住在里面很不舒服</t>
  </si>
  <si>
    <t>床单不经常给换</t>
  </si>
  <si>
    <t>出院手续太繁琐，楼上楼下的跑</t>
  </si>
  <si>
    <t>年轻的护士一般都要扎2针在输液时</t>
  </si>
  <si>
    <t>床单4、5天换，衣服等都要自己过去换，他们不主动给换的</t>
  </si>
  <si>
    <t>手续比较繁琐，人多要等，住一个月就办理一次入院、出院手续</t>
  </si>
  <si>
    <t>办理入院手续流程比较麻烦，开始不熟悉感觉很麻烦</t>
  </si>
  <si>
    <t>个别的护士态度不好，问些问题爱理不理</t>
  </si>
  <si>
    <t>B超抽血科室的工作人员脸板着。问一些问题不说。</t>
  </si>
  <si>
    <t>拉病人的态度不好很凶，让他帮一把把病人抬到床上不管</t>
  </si>
  <si>
    <t>牙科医生的技术水平不好，母亲的假牙不好用了，没法吃饭，请牙科医生会诊一直没好，牙科医生推卸责任说没有办法，可人要吃饭的，家属很着急。</t>
  </si>
  <si>
    <t>给老人扎针不能一次性成功</t>
  </si>
  <si>
    <t>实习的护士，新安排来的技术差一些，给老人扎针总扎不好</t>
  </si>
  <si>
    <t>我去问医生（白天医生个子矮），什么时候可用出院，那个医生态度不好，说谁签的字跟谁说，态度差，后来和院长反映了情况，之后和另外的一个医生办理了出院。</t>
  </si>
  <si>
    <t>小杜胀气，小毛病开刀手术，在住院期间刀口有发炎症状，家属要求消炎但主治医生和护士说医院规定不许给打消炎针，我们提出后在一个星期后拆线把脓取出才给打消炎针，在出院头一天才缝针，出院以后还是没有愈合，里面还是痛，我们现在都不去到此医院复查了。</t>
  </si>
  <si>
    <t>出院时不是当天办理结算手续，要过几天再去，这点有些不满意，可能是端午节不办手续，可病人确很麻烦。</t>
  </si>
  <si>
    <t>不耐烦，问一些事情护士很不耐烦，不回答</t>
  </si>
  <si>
    <t>早晨打针不知为什么总是非常着急，还打的非常痛，感觉一管药水一下子就打进去了。</t>
  </si>
  <si>
    <t>B超查出宫腔有东西，问一下B超工作人员说下次来再看，也不说去哪个科室，看什么也不说宫腔里到底是什么。</t>
  </si>
  <si>
    <t>检查取号码，机器不好老卡住，需要找服务人员帮忙才可拿到。</t>
  </si>
  <si>
    <t>产科的医生态度很不好，把病人推走，妻子怀孕肚子疼去医院后住进ICU，母亲还没有出ICU，医生就让把孩子接走，家属要求让孩子再住一天，不允许，态度非常恶劣。</t>
  </si>
  <si>
    <t>年龄大的，短头发的护士态度非常不好。</t>
  </si>
  <si>
    <t>肚子疼检查不出来，后来疼的受不了，中午10点住院，后来到晚上11点才检查处理，是胰腺炎，刀口没长好找医生，医生不负责任的说让把病人推进去，他没有时间。</t>
  </si>
  <si>
    <t>护士扎针有时会扎几针才会成功</t>
  </si>
  <si>
    <t>实习的护士一般扎2、3针成功，手背肿了</t>
  </si>
  <si>
    <t>实习护士技术不好，扎几针不成功，后找护士长才扎好</t>
  </si>
  <si>
    <t>验血的态度不好，问一些事情不回答，害的病人楼上楼下的跑</t>
  </si>
  <si>
    <t>检查的项目太多了，一进医院就重复检查，医生说之前的无法诊断，必须要住院后再检查</t>
  </si>
  <si>
    <t>实习生打针差，打针疼，有的护士老护士技术也不好，要打好几针病人很痛苦。</t>
  </si>
  <si>
    <t>出院最后收的费用不清楚，花1.3万都不知道花在哪了</t>
  </si>
  <si>
    <t>出院时没有交费发票，只有一张单子，出院证明也没有，造成无法报销</t>
  </si>
  <si>
    <t>刚开始有账单，5月27、28日每天都有账单，29日开始就没有了，6月11日出院</t>
  </si>
  <si>
    <t>结账出院前三天没有清单，账目不清。</t>
  </si>
  <si>
    <t>孩子的家长要求检查一下病例，孩子的病例查不到，不知为什么孩子的家长很困惑，没有病例不知怎么给孩子治病</t>
  </si>
  <si>
    <t>约好的医生复诊，可在约定的时间内医生没有到</t>
  </si>
  <si>
    <t>孩子肚脐有水，没有清理，一个多月肚脐没有全部收完，孩子黄疸7.5就让住10天，实际8天就好了，还是不让出院。</t>
  </si>
  <si>
    <t>孩子出生黄疸吐奶，舌头有白的，不知为什么医生查不出来</t>
  </si>
  <si>
    <t>B超的态度差，老崔人，做的太快</t>
  </si>
  <si>
    <t>当时怀疑宫外孕，可是还按保胎治疗，这两者是相反的治疗方法，医生要在确切的诊断后才应对症治疗。</t>
  </si>
  <si>
    <t>做了3次B超才超出了毛病，之前两次都没有查出毛病</t>
  </si>
  <si>
    <t>手续有些麻烦，不是在一个地方全办完成的。</t>
  </si>
  <si>
    <t>态度不好，让护士换一下床单等很不情愿，语气非常差。</t>
  </si>
  <si>
    <t>脖子上打针，打好几次，弄得病人家属发火。</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</si>
</sst>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
    <numFmt numFmtId="183" formatCode="yyyy&quot;年&quot;m&quot;月&quot;;@"/>
    <numFmt numFmtId="185" formatCode="###0"/>
  </numFmts>
  <fonts count="7">
    <font>
      <sz val="11"/>
      <color theme="1"/>
      <name val="等线"/>
      <family val="2"/>
      <charset val="134"/>
      <scheme val="minor"/>
    </font>
    <font>
      <sz val="9"/>
      <name val="等线"/>
      <family val="2"/>
      <charset val="134"/>
      <scheme val="minor"/>
    </font>
    <font>
      <sz val="10"/>
      <color theme="1"/>
      <name val="等线"/>
      <family val="2"/>
      <scheme val="minor"/>
    </font>
    <font>
      <sz val="10"/>
      <color theme="1"/>
      <name val="等线"/>
      <family val="3"/>
      <charset val="134"/>
      <scheme val="minor"/>
    </font>
    <font>
      <b/>
      <sz val="11"/>
      <color theme="1"/>
      <name val="等线"/>
      <charset val="134"/>
      <scheme val="minor"/>
    </font>
    <font>
      <sz val="9"/>
      <name val="宋体"/>
      <family val="3"/>
      <charset val="134"/>
    </font>
    <font>
      <sz val="9"/>
      <name val="等线"/>
      <family val="3"/>
      <charset val="134"/>
      <scheme val="minor"/>
    </font>
  </fonts>
  <fills count="3">
    <fill>
      <patternFill patternType="none"/>
    </fill>
    <fill>
      <patternFill patternType="gray125"/>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alignment vertical="center"/>
    </xf>
  </cellStyleXfs>
  <cellXfs count="30">
    <xf numFmtId="0" fontId="0" fillId="0" borderId="0" xfId="0">
      <alignment vertical="center"/>
    </xf>
    <xf numFmtId="0" fontId="0" fillId="0" borderId="0" xfId="0"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xf>
    <xf numFmtId="0" fontId="0" fillId="0" borderId="1" xfId="0" applyBorder="1">
      <alignment vertical="center"/>
    </xf>
    <xf numFmtId="176" fontId="0" fillId="0" borderId="1" xfId="0" applyNumberFormat="1" applyBorder="1" applyAlignment="1">
      <alignment horizontal="center" vertical="center"/>
    </xf>
    <xf numFmtId="0" fontId="0" fillId="2" borderId="1" xfId="0" applyFill="1" applyBorder="1" applyAlignment="1">
      <alignment horizontal="left" vertical="center"/>
    </xf>
    <xf numFmtId="176" fontId="0" fillId="2" borderId="1" xfId="0" applyNumberFormat="1" applyFill="1" applyBorder="1" applyAlignment="1">
      <alignment horizontal="center" vertical="center"/>
    </xf>
    <xf numFmtId="57" fontId="0" fillId="0" borderId="0" xfId="0" applyNumberFormat="1">
      <alignment vertical="center"/>
    </xf>
    <xf numFmtId="57" fontId="0" fillId="0" borderId="1" xfId="0" applyNumberFormat="1" applyBorder="1">
      <alignment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0" xfId="0" applyBorder="1" applyAlignment="1">
      <alignment horizontal="center" vertical="center"/>
    </xf>
    <xf numFmtId="0" fontId="0" fillId="0" borderId="0" xfId="0" applyBorder="1" applyAlignment="1">
      <alignment horizontal="center" vertical="center"/>
    </xf>
    <xf numFmtId="0" fontId="0" fillId="0" borderId="0" xfId="0" applyBorder="1">
      <alignment vertical="center"/>
    </xf>
    <xf numFmtId="0" fontId="0" fillId="0" borderId="0" xfId="0" applyBorder="1" applyAlignment="1">
      <alignment vertical="center"/>
    </xf>
    <xf numFmtId="0" fontId="0" fillId="0" borderId="1" xfId="0" applyFill="1" applyBorder="1" applyAlignment="1">
      <alignment horizontal="center" vertical="center"/>
    </xf>
    <xf numFmtId="183" fontId="0" fillId="0" borderId="0" xfId="0" applyNumberFormat="1">
      <alignment vertical="center"/>
    </xf>
    <xf numFmtId="0" fontId="0" fillId="0" borderId="0" xfId="0" applyFill="1" applyBorder="1" applyAlignment="1">
      <alignment horizontal="center" vertical="center"/>
    </xf>
    <xf numFmtId="0" fontId="0" fillId="0" borderId="0" xfId="0" quotePrefix="1">
      <alignment vertical="center"/>
    </xf>
    <xf numFmtId="183" fontId="0" fillId="0" borderId="0" xfId="0" quotePrefix="1" applyNumberFormat="1">
      <alignment vertical="center"/>
    </xf>
    <xf numFmtId="185" fontId="2" fillId="0" borderId="0" xfId="0" applyNumberFormat="1" applyFont="1" applyAlignment="1">
      <alignment horizontal="center" vertical="center"/>
    </xf>
    <xf numFmtId="0" fontId="3" fillId="0" borderId="0" xfId="0" applyFont="1" applyAlignment="1">
      <alignment vertical="center"/>
    </xf>
    <xf numFmtId="0" fontId="3" fillId="0" borderId="0" xfId="0" applyFont="1" applyAlignment="1">
      <alignment horizontal="center" vertical="center"/>
    </xf>
    <xf numFmtId="185" fontId="2" fillId="0" borderId="0" xfId="0" applyNumberFormat="1" applyFont="1" applyAlignment="1">
      <alignment vertical="center"/>
    </xf>
    <xf numFmtId="0" fontId="0" fillId="0" borderId="0" xfId="0" applyAlignment="1">
      <alignment vertical="center"/>
    </xf>
    <xf numFmtId="0" fontId="4" fillId="0" borderId="0" xfId="0" applyFont="1">
      <alignment vertical="center"/>
    </xf>
    <xf numFmtId="0" fontId="3" fillId="0" borderId="0" xfId="0" applyFon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barChart>
        <c:barDir val="bar"/>
        <c:grouping val="stacked"/>
        <c:varyColors val="0"/>
        <c:ser>
          <c:idx val="0"/>
          <c:order val="0"/>
          <c:tx>
            <c:strRef>
              <c:f>Sheet1!$B$1</c:f>
              <c:strCache>
                <c:ptCount val="1"/>
                <c:pt idx="0">
                  <c:v>一季度</c:v>
                </c:pt>
              </c:strCache>
            </c:strRef>
          </c:tx>
          <c:spPr>
            <a:solidFill>
              <a:schemeClr val="accent1"/>
            </a:solidFill>
            <a:ln>
              <a:noFill/>
            </a:ln>
            <a:effectLst/>
          </c:spPr>
          <c:invertIfNegative val="0"/>
          <c:cat>
            <c:numRef>
              <c:f>Sheet1!$A$2:$A$12</c:f>
              <c:numCache>
                <c:formatCode>General</c:formatCode>
                <c:ptCount val="11"/>
                <c:pt idx="0">
                  <c:v>2001</c:v>
                </c:pt>
                <c:pt idx="1">
                  <c:v>2002</c:v>
                </c:pt>
                <c:pt idx="2">
                  <c:v>2003</c:v>
                </c:pt>
                <c:pt idx="3">
                  <c:v>2004</c:v>
                </c:pt>
                <c:pt idx="4">
                  <c:v>2005</c:v>
                </c:pt>
                <c:pt idx="5">
                  <c:v>2006</c:v>
                </c:pt>
                <c:pt idx="6">
                  <c:v>2007</c:v>
                </c:pt>
                <c:pt idx="7">
                  <c:v>2008</c:v>
                </c:pt>
                <c:pt idx="8">
                  <c:v>2009</c:v>
                </c:pt>
                <c:pt idx="9">
                  <c:v>2010</c:v>
                </c:pt>
                <c:pt idx="10">
                  <c:v>2011</c:v>
                </c:pt>
              </c:numCache>
            </c:numRef>
          </c:cat>
          <c:val>
            <c:numRef>
              <c:f>Sheet1!$B$2:$B$12</c:f>
              <c:numCache>
                <c:formatCode>General</c:formatCode>
                <c:ptCount val="11"/>
                <c:pt idx="0">
                  <c:v>75.339104230977199</c:v>
                </c:pt>
                <c:pt idx="1">
                  <c:v>9.6198195246878111</c:v>
                </c:pt>
                <c:pt idx="2">
                  <c:v>71.005994109372494</c:v>
                </c:pt>
                <c:pt idx="3">
                  <c:v>93.344546450929556</c:v>
                </c:pt>
                <c:pt idx="4">
                  <c:v>77.338382182450445</c:v>
                </c:pt>
                <c:pt idx="5">
                  <c:v>3.185013083934829</c:v>
                </c:pt>
                <c:pt idx="6">
                  <c:v>48.010249224381681</c:v>
                </c:pt>
                <c:pt idx="7">
                  <c:v>17.795104870536282</c:v>
                </c:pt>
                <c:pt idx="8">
                  <c:v>30.327026817391268</c:v>
                </c:pt>
                <c:pt idx="9">
                  <c:v>1.3987913283035058</c:v>
                </c:pt>
                <c:pt idx="10">
                  <c:v>42.515644435440734</c:v>
                </c:pt>
              </c:numCache>
            </c:numRef>
          </c:val>
          <c:extLst xmlns:c16r2="http://schemas.microsoft.com/office/drawing/2015/06/chart">
            <c:ext xmlns:c16="http://schemas.microsoft.com/office/drawing/2014/chart" uri="{C3380CC4-5D6E-409C-BE32-E72D297353CC}">
              <c16:uniqueId val="{00000000-F1F3-41E7-9897-78ED256FA22A}"/>
            </c:ext>
          </c:extLst>
        </c:ser>
        <c:ser>
          <c:idx val="1"/>
          <c:order val="1"/>
          <c:tx>
            <c:strRef>
              <c:f>Sheet1!$C$1</c:f>
              <c:strCache>
                <c:ptCount val="1"/>
                <c:pt idx="0">
                  <c:v>二季度</c:v>
                </c:pt>
              </c:strCache>
            </c:strRef>
          </c:tx>
          <c:spPr>
            <a:solidFill>
              <a:schemeClr val="accent2"/>
            </a:solidFill>
            <a:ln>
              <a:noFill/>
            </a:ln>
            <a:effectLst/>
          </c:spPr>
          <c:invertIfNegative val="0"/>
          <c:cat>
            <c:numRef>
              <c:f>Sheet1!$A$2:$A$12</c:f>
              <c:numCache>
                <c:formatCode>General</c:formatCode>
                <c:ptCount val="11"/>
                <c:pt idx="0">
                  <c:v>2001</c:v>
                </c:pt>
                <c:pt idx="1">
                  <c:v>2002</c:v>
                </c:pt>
                <c:pt idx="2">
                  <c:v>2003</c:v>
                </c:pt>
                <c:pt idx="3">
                  <c:v>2004</c:v>
                </c:pt>
                <c:pt idx="4">
                  <c:v>2005</c:v>
                </c:pt>
                <c:pt idx="5">
                  <c:v>2006</c:v>
                </c:pt>
                <c:pt idx="6">
                  <c:v>2007</c:v>
                </c:pt>
                <c:pt idx="7">
                  <c:v>2008</c:v>
                </c:pt>
                <c:pt idx="8">
                  <c:v>2009</c:v>
                </c:pt>
                <c:pt idx="9">
                  <c:v>2010</c:v>
                </c:pt>
                <c:pt idx="10">
                  <c:v>2011</c:v>
                </c:pt>
              </c:numCache>
            </c:numRef>
          </c:cat>
          <c:val>
            <c:numRef>
              <c:f>Sheet1!$C$2:$C$12</c:f>
              <c:numCache>
                <c:formatCode>General</c:formatCode>
                <c:ptCount val="11"/>
                <c:pt idx="0">
                  <c:v>64.716947093567541</c:v>
                </c:pt>
                <c:pt idx="1">
                  <c:v>43.973912259981361</c:v>
                </c:pt>
                <c:pt idx="2">
                  <c:v>85.921261489663323</c:v>
                </c:pt>
                <c:pt idx="3">
                  <c:v>8.5445489493066962</c:v>
                </c:pt>
                <c:pt idx="4">
                  <c:v>21.120182637276031</c:v>
                </c:pt>
                <c:pt idx="5">
                  <c:v>75.818986443169607</c:v>
                </c:pt>
                <c:pt idx="6">
                  <c:v>16.330762220019313</c:v>
                </c:pt>
                <c:pt idx="7">
                  <c:v>91.540747414275145</c:v>
                </c:pt>
                <c:pt idx="8">
                  <c:v>95.130717132768069</c:v>
                </c:pt>
                <c:pt idx="9">
                  <c:v>8.5410991317981022</c:v>
                </c:pt>
                <c:pt idx="10">
                  <c:v>6.726253378616831</c:v>
                </c:pt>
              </c:numCache>
            </c:numRef>
          </c:val>
          <c:extLst xmlns:c16r2="http://schemas.microsoft.com/office/drawing/2015/06/chart">
            <c:ext xmlns:c16="http://schemas.microsoft.com/office/drawing/2014/chart" uri="{C3380CC4-5D6E-409C-BE32-E72D297353CC}">
              <c16:uniqueId val="{00000001-F1F3-41E7-9897-78ED256FA22A}"/>
            </c:ext>
          </c:extLst>
        </c:ser>
        <c:ser>
          <c:idx val="2"/>
          <c:order val="2"/>
          <c:tx>
            <c:strRef>
              <c:f>Sheet1!$D$1</c:f>
              <c:strCache>
                <c:ptCount val="1"/>
                <c:pt idx="0">
                  <c:v>三季度</c:v>
                </c:pt>
              </c:strCache>
            </c:strRef>
          </c:tx>
          <c:spPr>
            <a:solidFill>
              <a:schemeClr val="accent3"/>
            </a:solidFill>
            <a:ln>
              <a:noFill/>
            </a:ln>
            <a:effectLst/>
          </c:spPr>
          <c:invertIfNegative val="0"/>
          <c:cat>
            <c:numRef>
              <c:f>Sheet1!$A$2:$A$12</c:f>
              <c:numCache>
                <c:formatCode>General</c:formatCode>
                <c:ptCount val="11"/>
                <c:pt idx="0">
                  <c:v>2001</c:v>
                </c:pt>
                <c:pt idx="1">
                  <c:v>2002</c:v>
                </c:pt>
                <c:pt idx="2">
                  <c:v>2003</c:v>
                </c:pt>
                <c:pt idx="3">
                  <c:v>2004</c:v>
                </c:pt>
                <c:pt idx="4">
                  <c:v>2005</c:v>
                </c:pt>
                <c:pt idx="5">
                  <c:v>2006</c:v>
                </c:pt>
                <c:pt idx="6">
                  <c:v>2007</c:v>
                </c:pt>
                <c:pt idx="7">
                  <c:v>2008</c:v>
                </c:pt>
                <c:pt idx="8">
                  <c:v>2009</c:v>
                </c:pt>
                <c:pt idx="9">
                  <c:v>2010</c:v>
                </c:pt>
                <c:pt idx="10">
                  <c:v>2011</c:v>
                </c:pt>
              </c:numCache>
            </c:numRef>
          </c:cat>
          <c:val>
            <c:numRef>
              <c:f>Sheet1!$D$2:$D$12</c:f>
              <c:numCache>
                <c:formatCode>General</c:formatCode>
                <c:ptCount val="11"/>
                <c:pt idx="0">
                  <c:v>48.302652890656759</c:v>
                </c:pt>
                <c:pt idx="1">
                  <c:v>45.590279173465518</c:v>
                </c:pt>
                <c:pt idx="2">
                  <c:v>14.965477905269653</c:v>
                </c:pt>
                <c:pt idx="3">
                  <c:v>50.217366782077278</c:v>
                </c:pt>
                <c:pt idx="4">
                  <c:v>86.349773621916299</c:v>
                </c:pt>
                <c:pt idx="5">
                  <c:v>46.674758137589315</c:v>
                </c:pt>
                <c:pt idx="6">
                  <c:v>88.804357518094818</c:v>
                </c:pt>
                <c:pt idx="7">
                  <c:v>19.530486680406444</c:v>
                </c:pt>
                <c:pt idx="8">
                  <c:v>85.345819814963846</c:v>
                </c:pt>
                <c:pt idx="9">
                  <c:v>33.697363242320279</c:v>
                </c:pt>
                <c:pt idx="10">
                  <c:v>77.460351713040438</c:v>
                </c:pt>
              </c:numCache>
            </c:numRef>
          </c:val>
          <c:extLst xmlns:c16r2="http://schemas.microsoft.com/office/drawing/2015/06/chart">
            <c:ext xmlns:c16="http://schemas.microsoft.com/office/drawing/2014/chart" uri="{C3380CC4-5D6E-409C-BE32-E72D297353CC}">
              <c16:uniqueId val="{00000002-F1F3-41E7-9897-78ED256FA22A}"/>
            </c:ext>
          </c:extLst>
        </c:ser>
        <c:ser>
          <c:idx val="3"/>
          <c:order val="3"/>
          <c:tx>
            <c:strRef>
              <c:f>Sheet1!$E$1</c:f>
              <c:strCache>
                <c:ptCount val="1"/>
                <c:pt idx="0">
                  <c:v>四季度</c:v>
                </c:pt>
              </c:strCache>
            </c:strRef>
          </c:tx>
          <c:spPr>
            <a:solidFill>
              <a:schemeClr val="accent4"/>
            </a:solidFill>
            <a:ln>
              <a:noFill/>
            </a:ln>
            <a:effectLst/>
          </c:spPr>
          <c:invertIfNegative val="0"/>
          <c:cat>
            <c:numRef>
              <c:f>Sheet1!$A$2:$A$12</c:f>
              <c:numCache>
                <c:formatCode>General</c:formatCode>
                <c:ptCount val="11"/>
                <c:pt idx="0">
                  <c:v>2001</c:v>
                </c:pt>
                <c:pt idx="1">
                  <c:v>2002</c:v>
                </c:pt>
                <c:pt idx="2">
                  <c:v>2003</c:v>
                </c:pt>
                <c:pt idx="3">
                  <c:v>2004</c:v>
                </c:pt>
                <c:pt idx="4">
                  <c:v>2005</c:v>
                </c:pt>
                <c:pt idx="5">
                  <c:v>2006</c:v>
                </c:pt>
                <c:pt idx="6">
                  <c:v>2007</c:v>
                </c:pt>
                <c:pt idx="7">
                  <c:v>2008</c:v>
                </c:pt>
                <c:pt idx="8">
                  <c:v>2009</c:v>
                </c:pt>
                <c:pt idx="9">
                  <c:v>2010</c:v>
                </c:pt>
                <c:pt idx="10">
                  <c:v>2011</c:v>
                </c:pt>
              </c:numCache>
            </c:numRef>
          </c:cat>
          <c:val>
            <c:numRef>
              <c:f>Sheet1!$E$2:$E$12</c:f>
              <c:numCache>
                <c:formatCode>General</c:formatCode>
                <c:ptCount val="11"/>
                <c:pt idx="0">
                  <c:v>94.068761041341574</c:v>
                </c:pt>
                <c:pt idx="1">
                  <c:v>85.609721025167417</c:v>
                </c:pt>
                <c:pt idx="2">
                  <c:v>69.198399091790236</c:v>
                </c:pt>
                <c:pt idx="3">
                  <c:v>30.902689962589569</c:v>
                </c:pt>
                <c:pt idx="4">
                  <c:v>82.910781129329067</c:v>
                </c:pt>
                <c:pt idx="5">
                  <c:v>23.712984255178469</c:v>
                </c:pt>
                <c:pt idx="6">
                  <c:v>2.2284694378032044</c:v>
                </c:pt>
                <c:pt idx="7">
                  <c:v>35.13861912426858</c:v>
                </c:pt>
                <c:pt idx="8">
                  <c:v>35.310560358877751</c:v>
                </c:pt>
                <c:pt idx="9">
                  <c:v>75.890557080312732</c:v>
                </c:pt>
                <c:pt idx="10">
                  <c:v>13.796428376233926</c:v>
                </c:pt>
              </c:numCache>
            </c:numRef>
          </c:val>
          <c:extLst xmlns:c16r2="http://schemas.microsoft.com/office/drawing/2015/06/chart">
            <c:ext xmlns:c16="http://schemas.microsoft.com/office/drawing/2014/chart" uri="{C3380CC4-5D6E-409C-BE32-E72D297353CC}">
              <c16:uniqueId val="{00000003-F1F3-41E7-9897-78ED256FA22A}"/>
            </c:ext>
          </c:extLst>
        </c:ser>
        <c:dLbls>
          <c:showLegendKey val="0"/>
          <c:showVal val="0"/>
          <c:showCatName val="0"/>
          <c:showSerName val="0"/>
          <c:showPercent val="0"/>
          <c:showBubbleSize val="0"/>
        </c:dLbls>
        <c:gapWidth val="150"/>
        <c:overlap val="100"/>
        <c:axId val="283005112"/>
        <c:axId val="283005504"/>
      </c:barChart>
      <c:catAx>
        <c:axId val="283005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83005504"/>
        <c:crosses val="autoZero"/>
        <c:auto val="1"/>
        <c:lblAlgn val="ctr"/>
        <c:lblOffset val="100"/>
        <c:noMultiLvlLbl val="0"/>
      </c:catAx>
      <c:valAx>
        <c:axId val="283005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283005112"/>
        <c:crosses val="autoZero"/>
        <c:crossBetween val="between"/>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xdr:colOff>
          <xdr:row>0</xdr:row>
          <xdr:rowOff>123825</xdr:rowOff>
        </xdr:from>
        <xdr:to>
          <xdr:col>5</xdr:col>
          <xdr:colOff>676275</xdr:colOff>
          <xdr:row>1</xdr:row>
          <xdr:rowOff>161925</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等线"/>
                </a:rPr>
                <a:t>生成意见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28575</xdr:colOff>
      <xdr:row>0</xdr:row>
      <xdr:rowOff>142874</xdr:rowOff>
    </xdr:from>
    <xdr:to>
      <xdr:col>12</xdr:col>
      <xdr:colOff>447675</xdr:colOff>
      <xdr:row>25</xdr:row>
      <xdr:rowOff>161924</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7"/>
  <sheetViews>
    <sheetView tabSelected="1" workbookViewId="0">
      <selection activeCell="I9" sqref="I9"/>
    </sheetView>
  </sheetViews>
  <sheetFormatPr defaultRowHeight="13.5" outlineLevelRow="1"/>
  <cols>
    <col min="1" max="1" width="11.375" bestFit="1" customWidth="1"/>
    <col min="2" max="16" width="6.625" customWidth="1"/>
  </cols>
  <sheetData>
    <row r="1" spans="1:16" ht="33.75" customHeight="1">
      <c r="A1" s="13" t="s">
        <v>46</v>
      </c>
      <c r="B1" s="13"/>
      <c r="C1" s="13"/>
      <c r="D1" s="13"/>
      <c r="E1" s="13"/>
      <c r="F1" s="13"/>
      <c r="G1" s="13"/>
      <c r="H1" s="13"/>
      <c r="I1" s="13"/>
      <c r="J1" s="13"/>
      <c r="K1" s="13"/>
      <c r="L1" s="13"/>
      <c r="M1" s="13"/>
      <c r="N1" s="13"/>
      <c r="O1" s="13"/>
      <c r="P1" s="13"/>
    </row>
    <row r="2" spans="1:16" outlineLevel="1">
      <c r="A2" s="11" t="s">
        <v>45</v>
      </c>
      <c r="B2" s="3" t="s">
        <v>4</v>
      </c>
      <c r="C2" s="3"/>
      <c r="D2" s="3"/>
      <c r="E2" s="3" t="s">
        <v>5</v>
      </c>
      <c r="F2" s="3"/>
      <c r="G2" s="3"/>
      <c r="H2" s="3" t="s">
        <v>6</v>
      </c>
      <c r="I2" s="3"/>
      <c r="J2" s="3"/>
      <c r="K2" s="3" t="s">
        <v>7</v>
      </c>
      <c r="L2" s="3"/>
      <c r="M2" s="3"/>
      <c r="N2" s="3" t="s">
        <v>8</v>
      </c>
      <c r="O2" s="3"/>
      <c r="P2" s="3"/>
    </row>
    <row r="3" spans="1:16" outlineLevel="1">
      <c r="A3" s="12"/>
      <c r="B3" s="4" t="s">
        <v>42</v>
      </c>
      <c r="C3" s="4" t="s">
        <v>43</v>
      </c>
      <c r="D3" s="4" t="s">
        <v>44</v>
      </c>
      <c r="E3" s="4" t="s">
        <v>42</v>
      </c>
      <c r="F3" s="4" t="s">
        <v>43</v>
      </c>
      <c r="G3" s="4" t="s">
        <v>44</v>
      </c>
      <c r="H3" s="4" t="s">
        <v>42</v>
      </c>
      <c r="I3" s="4" t="s">
        <v>43</v>
      </c>
      <c r="J3" s="4" t="s">
        <v>44</v>
      </c>
      <c r="K3" s="4" t="s">
        <v>42</v>
      </c>
      <c r="L3" s="4" t="s">
        <v>43</v>
      </c>
      <c r="M3" s="4" t="s">
        <v>44</v>
      </c>
      <c r="N3" s="4" t="s">
        <v>42</v>
      </c>
      <c r="O3" s="4" t="s">
        <v>43</v>
      </c>
      <c r="P3" s="4" t="s">
        <v>44</v>
      </c>
    </row>
    <row r="4" spans="1:16" outlineLevel="1">
      <c r="A4" s="10">
        <v>41640</v>
      </c>
      <c r="B4" s="6">
        <f>AVERAGE(C4:D4)</f>
        <v>84.199999999999989</v>
      </c>
      <c r="C4" s="6">
        <v>82.8</v>
      </c>
      <c r="D4" s="6">
        <v>85.6</v>
      </c>
      <c r="E4" s="6">
        <f>AVERAGE(F4:G4)</f>
        <v>86.9</v>
      </c>
      <c r="F4" s="6">
        <v>86.5</v>
      </c>
      <c r="G4" s="6">
        <v>87.3</v>
      </c>
      <c r="H4" s="6">
        <f>AVERAGE(I4:J4)</f>
        <v>87.6</v>
      </c>
      <c r="I4" s="6">
        <v>86.1</v>
      </c>
      <c r="J4" s="6">
        <v>89.1</v>
      </c>
      <c r="K4" s="6">
        <f>AVERAGE(L4:M4)</f>
        <v>86</v>
      </c>
      <c r="L4" s="6">
        <v>89.7</v>
      </c>
      <c r="M4" s="6">
        <v>82.3</v>
      </c>
      <c r="N4" s="6">
        <f>AVERAGE(O4:P4)</f>
        <v>85.5</v>
      </c>
      <c r="O4" s="6">
        <v>87.9</v>
      </c>
      <c r="P4" s="6">
        <v>83.1</v>
      </c>
    </row>
    <row r="5" spans="1:16" outlineLevel="1">
      <c r="A5" s="10">
        <v>41671</v>
      </c>
      <c r="B5" s="6">
        <f t="shared" ref="B5:B24" si="0">AVERAGE(C5:D5)</f>
        <v>82.449999999999989</v>
      </c>
      <c r="C5" s="6">
        <v>81.099999999999994</v>
      </c>
      <c r="D5" s="6">
        <v>83.8</v>
      </c>
      <c r="E5" s="6">
        <f t="shared" ref="E5:E24" si="1">AVERAGE(F5:G5)</f>
        <v>84.9</v>
      </c>
      <c r="F5" s="6">
        <v>87.1</v>
      </c>
      <c r="G5" s="6">
        <v>82.7</v>
      </c>
      <c r="H5" s="6">
        <f t="shared" ref="H5:H24" si="2">AVERAGE(I5:J5)</f>
        <v>83.25</v>
      </c>
      <c r="I5" s="6">
        <v>85.8</v>
      </c>
      <c r="J5" s="6">
        <v>80.7</v>
      </c>
      <c r="K5" s="6">
        <f t="shared" ref="K5:K24" si="3">AVERAGE(L5:M5)</f>
        <v>82.15</v>
      </c>
      <c r="L5" s="6">
        <v>83.4</v>
      </c>
      <c r="M5" s="6">
        <v>80.900000000000006</v>
      </c>
      <c r="N5" s="6">
        <f t="shared" ref="N5:N24" si="4">AVERAGE(O5:P5)</f>
        <v>87.25</v>
      </c>
      <c r="O5" s="6">
        <v>85.7</v>
      </c>
      <c r="P5" s="6">
        <v>88.8</v>
      </c>
    </row>
    <row r="6" spans="1:16" outlineLevel="1">
      <c r="A6" s="10">
        <v>41699</v>
      </c>
      <c r="B6" s="6">
        <f t="shared" si="0"/>
        <v>86.05</v>
      </c>
      <c r="C6" s="6">
        <v>88.1</v>
      </c>
      <c r="D6" s="6">
        <v>84</v>
      </c>
      <c r="E6" s="6">
        <f t="shared" si="1"/>
        <v>88.050000000000011</v>
      </c>
      <c r="F6" s="6">
        <v>88.2</v>
      </c>
      <c r="G6" s="6">
        <v>87.9</v>
      </c>
      <c r="H6" s="6">
        <f t="shared" si="2"/>
        <v>83.6</v>
      </c>
      <c r="I6" s="6">
        <v>83.5</v>
      </c>
      <c r="J6" s="6">
        <v>83.7</v>
      </c>
      <c r="K6" s="6">
        <f t="shared" si="3"/>
        <v>82.2</v>
      </c>
      <c r="L6" s="6">
        <v>84</v>
      </c>
      <c r="M6" s="6">
        <v>80.400000000000006</v>
      </c>
      <c r="N6" s="6">
        <f t="shared" si="4"/>
        <v>88.05</v>
      </c>
      <c r="O6" s="6">
        <v>90</v>
      </c>
      <c r="P6" s="6">
        <v>86.1</v>
      </c>
    </row>
    <row r="7" spans="1:16" outlineLevel="1">
      <c r="A7" s="10">
        <v>41730</v>
      </c>
      <c r="B7" s="6">
        <f t="shared" si="0"/>
        <v>86.1</v>
      </c>
      <c r="C7" s="6">
        <v>87.1</v>
      </c>
      <c r="D7" s="6">
        <v>85.1</v>
      </c>
      <c r="E7" s="6">
        <f t="shared" si="1"/>
        <v>83.25</v>
      </c>
      <c r="F7" s="6">
        <v>85.1</v>
      </c>
      <c r="G7" s="6">
        <v>81.400000000000006</v>
      </c>
      <c r="H7" s="6">
        <f t="shared" si="2"/>
        <v>84.45</v>
      </c>
      <c r="I7" s="6">
        <v>88.2</v>
      </c>
      <c r="J7" s="6">
        <v>80.7</v>
      </c>
      <c r="K7" s="6">
        <f t="shared" si="3"/>
        <v>88.300000000000011</v>
      </c>
      <c r="L7" s="6">
        <v>89.7</v>
      </c>
      <c r="M7" s="6">
        <v>86.9</v>
      </c>
      <c r="N7" s="6">
        <f t="shared" si="4"/>
        <v>80.75</v>
      </c>
      <c r="O7" s="6">
        <v>80.3</v>
      </c>
      <c r="P7" s="6">
        <v>81.2</v>
      </c>
    </row>
    <row r="8" spans="1:16" outlineLevel="1">
      <c r="A8" s="10">
        <v>41760</v>
      </c>
      <c r="B8" s="6">
        <f t="shared" si="0"/>
        <v>85.55</v>
      </c>
      <c r="C8" s="6">
        <v>81.599999999999994</v>
      </c>
      <c r="D8" s="6">
        <v>89.5</v>
      </c>
      <c r="E8" s="6">
        <f t="shared" si="1"/>
        <v>83.4</v>
      </c>
      <c r="F8" s="6">
        <v>82.6</v>
      </c>
      <c r="G8" s="6">
        <v>84.2</v>
      </c>
      <c r="H8" s="6">
        <f t="shared" si="2"/>
        <v>82.5</v>
      </c>
      <c r="I8" s="6">
        <v>81</v>
      </c>
      <c r="J8" s="6">
        <v>84</v>
      </c>
      <c r="K8" s="6">
        <f t="shared" si="3"/>
        <v>80.45</v>
      </c>
      <c r="L8" s="6">
        <v>80.7</v>
      </c>
      <c r="M8" s="6">
        <v>80.2</v>
      </c>
      <c r="N8" s="6">
        <f t="shared" si="4"/>
        <v>83.699999999999989</v>
      </c>
      <c r="O8" s="6">
        <v>87.3</v>
      </c>
      <c r="P8" s="6">
        <v>80.099999999999994</v>
      </c>
    </row>
    <row r="9" spans="1:16" outlineLevel="1">
      <c r="A9" s="10">
        <v>41791</v>
      </c>
      <c r="B9" s="6">
        <f t="shared" si="0"/>
        <v>85.7</v>
      </c>
      <c r="C9" s="6">
        <v>83.2</v>
      </c>
      <c r="D9" s="6">
        <v>88.2</v>
      </c>
      <c r="E9" s="6">
        <f t="shared" si="1"/>
        <v>83.050000000000011</v>
      </c>
      <c r="F9" s="6">
        <v>81.2</v>
      </c>
      <c r="G9" s="6">
        <v>84.9</v>
      </c>
      <c r="H9" s="6">
        <f t="shared" si="2"/>
        <v>82.4</v>
      </c>
      <c r="I9" s="6">
        <v>83.5</v>
      </c>
      <c r="J9" s="6">
        <v>81.3</v>
      </c>
      <c r="K9" s="6">
        <f t="shared" si="3"/>
        <v>82.199999999999989</v>
      </c>
      <c r="L9" s="6">
        <v>83.6</v>
      </c>
      <c r="M9" s="6">
        <v>80.8</v>
      </c>
      <c r="N9" s="6">
        <f t="shared" si="4"/>
        <v>84.85</v>
      </c>
      <c r="O9" s="6">
        <v>83.7</v>
      </c>
      <c r="P9" s="6">
        <v>86</v>
      </c>
    </row>
    <row r="10" spans="1:16" outlineLevel="1">
      <c r="A10" s="10">
        <v>41821</v>
      </c>
      <c r="B10" s="6">
        <f t="shared" si="0"/>
        <v>82.1</v>
      </c>
      <c r="C10" s="6">
        <v>81.400000000000006</v>
      </c>
      <c r="D10" s="6">
        <v>82.8</v>
      </c>
      <c r="E10" s="6">
        <f t="shared" si="1"/>
        <v>84.45</v>
      </c>
      <c r="F10" s="6">
        <v>83.4</v>
      </c>
      <c r="G10" s="6">
        <v>85.5</v>
      </c>
      <c r="H10" s="6">
        <f t="shared" si="2"/>
        <v>84.050000000000011</v>
      </c>
      <c r="I10" s="6">
        <v>80.2</v>
      </c>
      <c r="J10" s="6">
        <v>87.9</v>
      </c>
      <c r="K10" s="6">
        <f t="shared" si="3"/>
        <v>86.25</v>
      </c>
      <c r="L10" s="6">
        <v>89.9</v>
      </c>
      <c r="M10" s="6">
        <v>82.6</v>
      </c>
      <c r="N10" s="6">
        <f t="shared" si="4"/>
        <v>86.85</v>
      </c>
      <c r="O10" s="6">
        <v>89</v>
      </c>
      <c r="P10" s="6">
        <v>84.7</v>
      </c>
    </row>
    <row r="11" spans="1:16" outlineLevel="1">
      <c r="A11" s="10">
        <v>41852</v>
      </c>
      <c r="B11" s="6">
        <f t="shared" si="0"/>
        <v>86.1</v>
      </c>
      <c r="C11" s="6">
        <v>83.2</v>
      </c>
      <c r="D11" s="6">
        <v>89</v>
      </c>
      <c r="E11" s="6">
        <f t="shared" si="1"/>
        <v>84.4</v>
      </c>
      <c r="F11" s="6">
        <v>80.5</v>
      </c>
      <c r="G11" s="6">
        <v>88.3</v>
      </c>
      <c r="H11" s="6">
        <f t="shared" si="2"/>
        <v>83.5</v>
      </c>
      <c r="I11" s="6">
        <v>84.3</v>
      </c>
      <c r="J11" s="6">
        <v>82.7</v>
      </c>
      <c r="K11" s="6">
        <f t="shared" si="3"/>
        <v>82.15</v>
      </c>
      <c r="L11" s="6">
        <v>82.2</v>
      </c>
      <c r="M11" s="6">
        <v>82.1</v>
      </c>
      <c r="N11" s="6">
        <f t="shared" si="4"/>
        <v>84.25</v>
      </c>
      <c r="O11" s="6">
        <v>88</v>
      </c>
      <c r="P11" s="6">
        <v>80.5</v>
      </c>
    </row>
    <row r="12" spans="1:16" outlineLevel="1">
      <c r="A12" s="10">
        <v>41883</v>
      </c>
      <c r="B12" s="6">
        <f t="shared" si="0"/>
        <v>85.35</v>
      </c>
      <c r="C12" s="6">
        <v>88.8</v>
      </c>
      <c r="D12" s="6">
        <v>81.900000000000006</v>
      </c>
      <c r="E12" s="6">
        <f t="shared" si="1"/>
        <v>86.8</v>
      </c>
      <c r="F12" s="6">
        <v>84.3</v>
      </c>
      <c r="G12" s="6">
        <v>89.3</v>
      </c>
      <c r="H12" s="6">
        <f t="shared" si="2"/>
        <v>82.8</v>
      </c>
      <c r="I12" s="6">
        <v>81.3</v>
      </c>
      <c r="J12" s="6">
        <v>84.3</v>
      </c>
      <c r="K12" s="6">
        <f t="shared" si="3"/>
        <v>83.95</v>
      </c>
      <c r="L12" s="6">
        <v>81.400000000000006</v>
      </c>
      <c r="M12" s="6">
        <v>86.5</v>
      </c>
      <c r="N12" s="6">
        <f t="shared" si="4"/>
        <v>84.8</v>
      </c>
      <c r="O12" s="6">
        <v>88.8</v>
      </c>
      <c r="P12" s="6">
        <v>80.8</v>
      </c>
    </row>
    <row r="13" spans="1:16" outlineLevel="1">
      <c r="A13" s="10">
        <v>41913</v>
      </c>
      <c r="B13" s="6">
        <f t="shared" si="0"/>
        <v>82.65</v>
      </c>
      <c r="C13" s="6">
        <v>83.8</v>
      </c>
      <c r="D13" s="6">
        <v>81.5</v>
      </c>
      <c r="E13" s="6">
        <f t="shared" si="1"/>
        <v>82.85</v>
      </c>
      <c r="F13" s="6">
        <v>83.1</v>
      </c>
      <c r="G13" s="6">
        <v>82.6</v>
      </c>
      <c r="H13" s="6">
        <f t="shared" si="2"/>
        <v>87.05</v>
      </c>
      <c r="I13" s="6">
        <v>89</v>
      </c>
      <c r="J13" s="6">
        <v>85.1</v>
      </c>
      <c r="K13" s="6">
        <f t="shared" si="3"/>
        <v>87</v>
      </c>
      <c r="L13" s="6">
        <v>85.3</v>
      </c>
      <c r="M13" s="6">
        <v>88.7</v>
      </c>
      <c r="N13" s="6">
        <f t="shared" si="4"/>
        <v>83.550000000000011</v>
      </c>
      <c r="O13" s="6">
        <v>83.9</v>
      </c>
      <c r="P13" s="6">
        <v>83.2</v>
      </c>
    </row>
    <row r="14" spans="1:16" outlineLevel="1">
      <c r="A14" s="10">
        <v>41944</v>
      </c>
      <c r="B14" s="6">
        <f t="shared" si="0"/>
        <v>86.15</v>
      </c>
      <c r="C14" s="6">
        <v>83.1</v>
      </c>
      <c r="D14" s="6">
        <v>89.2</v>
      </c>
      <c r="E14" s="6">
        <f t="shared" si="1"/>
        <v>84.85</v>
      </c>
      <c r="F14" s="6">
        <v>85.1</v>
      </c>
      <c r="G14" s="6">
        <v>84.6</v>
      </c>
      <c r="H14" s="6">
        <f t="shared" si="2"/>
        <v>89.15</v>
      </c>
      <c r="I14" s="6">
        <v>88.4</v>
      </c>
      <c r="J14" s="6">
        <v>89.9</v>
      </c>
      <c r="K14" s="6">
        <f t="shared" si="3"/>
        <v>88.699999999999989</v>
      </c>
      <c r="L14" s="6">
        <v>87.8</v>
      </c>
      <c r="M14" s="6">
        <v>89.6</v>
      </c>
      <c r="N14" s="6">
        <f t="shared" si="4"/>
        <v>82.15</v>
      </c>
      <c r="O14" s="6">
        <v>82.7</v>
      </c>
      <c r="P14" s="6">
        <v>81.599999999999994</v>
      </c>
    </row>
    <row r="15" spans="1:16" outlineLevel="1">
      <c r="A15" s="10">
        <v>41974</v>
      </c>
      <c r="B15" s="6">
        <f t="shared" si="0"/>
        <v>86.300000000000011</v>
      </c>
      <c r="C15" s="6">
        <v>82.7</v>
      </c>
      <c r="D15" s="6">
        <v>89.9</v>
      </c>
      <c r="E15" s="6">
        <f t="shared" si="1"/>
        <v>85.5</v>
      </c>
      <c r="F15" s="6">
        <v>81.8</v>
      </c>
      <c r="G15" s="6">
        <v>89.2</v>
      </c>
      <c r="H15" s="6">
        <f t="shared" si="2"/>
        <v>82.15</v>
      </c>
      <c r="I15" s="6">
        <v>81.900000000000006</v>
      </c>
      <c r="J15" s="6">
        <v>82.4</v>
      </c>
      <c r="K15" s="6">
        <f t="shared" si="3"/>
        <v>85.65</v>
      </c>
      <c r="L15" s="6">
        <v>88.7</v>
      </c>
      <c r="M15" s="6">
        <v>82.6</v>
      </c>
      <c r="N15" s="6">
        <f t="shared" si="4"/>
        <v>84.949999999999989</v>
      </c>
      <c r="O15" s="6">
        <v>81.3</v>
      </c>
      <c r="P15" s="6">
        <v>88.6</v>
      </c>
    </row>
    <row r="16" spans="1:16" outlineLevel="1">
      <c r="A16" s="10">
        <v>42005</v>
      </c>
      <c r="B16" s="6">
        <f t="shared" si="0"/>
        <v>88.550000000000011</v>
      </c>
      <c r="C16" s="6">
        <v>86.4</v>
      </c>
      <c r="D16" s="6">
        <v>90.7</v>
      </c>
      <c r="E16" s="6">
        <f t="shared" si="1"/>
        <v>88.550000000000011</v>
      </c>
      <c r="F16" s="6">
        <v>88.4</v>
      </c>
      <c r="G16" s="6">
        <v>88.7</v>
      </c>
      <c r="H16" s="6">
        <f t="shared" si="2"/>
        <v>93.699999999999989</v>
      </c>
      <c r="I16" s="6">
        <v>93.3</v>
      </c>
      <c r="J16" s="6">
        <v>94.1</v>
      </c>
      <c r="K16" s="6">
        <f t="shared" si="3"/>
        <v>90.5</v>
      </c>
      <c r="L16" s="6">
        <v>94.6</v>
      </c>
      <c r="M16" s="6">
        <v>86.4</v>
      </c>
      <c r="N16" s="6">
        <f t="shared" si="4"/>
        <v>90.6</v>
      </c>
      <c r="O16" s="6">
        <v>90.8</v>
      </c>
      <c r="P16" s="6">
        <v>90.4</v>
      </c>
    </row>
    <row r="17" spans="1:16" outlineLevel="1">
      <c r="A17" s="10">
        <v>42036</v>
      </c>
      <c r="B17" s="6">
        <f t="shared" si="0"/>
        <v>88.449999999999989</v>
      </c>
      <c r="C17" s="6">
        <v>85.6</v>
      </c>
      <c r="D17" s="6">
        <v>91.3</v>
      </c>
      <c r="E17" s="6">
        <f t="shared" si="1"/>
        <v>86.85</v>
      </c>
      <c r="F17" s="6">
        <v>87</v>
      </c>
      <c r="G17" s="6">
        <v>86.7</v>
      </c>
      <c r="H17" s="6">
        <f t="shared" si="2"/>
        <v>87.9</v>
      </c>
      <c r="I17" s="6">
        <v>85.6</v>
      </c>
      <c r="J17" s="6">
        <v>90.2</v>
      </c>
      <c r="K17" s="6">
        <f t="shared" si="3"/>
        <v>87.449999999999989</v>
      </c>
      <c r="L17" s="6">
        <v>85.6</v>
      </c>
      <c r="M17" s="6">
        <v>89.3</v>
      </c>
      <c r="N17" s="6">
        <f t="shared" si="4"/>
        <v>88.65</v>
      </c>
      <c r="O17" s="6">
        <v>90</v>
      </c>
      <c r="P17" s="6">
        <v>87.3</v>
      </c>
    </row>
    <row r="18" spans="1:16" outlineLevel="1">
      <c r="A18" s="10">
        <v>42064</v>
      </c>
      <c r="B18" s="6">
        <f t="shared" si="0"/>
        <v>87.25</v>
      </c>
      <c r="C18" s="6">
        <v>89.2</v>
      </c>
      <c r="D18" s="6">
        <v>85.3</v>
      </c>
      <c r="E18" s="6">
        <f t="shared" si="1"/>
        <v>90.550000000000011</v>
      </c>
      <c r="F18" s="6">
        <v>89.9</v>
      </c>
      <c r="G18" s="6">
        <v>91.2</v>
      </c>
      <c r="H18" s="6">
        <f t="shared" si="2"/>
        <v>89.35</v>
      </c>
      <c r="I18" s="6">
        <v>88.1</v>
      </c>
      <c r="J18" s="6">
        <v>90.6</v>
      </c>
      <c r="K18" s="6">
        <f t="shared" si="3"/>
        <v>89.35</v>
      </c>
      <c r="L18" s="6">
        <v>86.3</v>
      </c>
      <c r="M18" s="6">
        <v>92.4</v>
      </c>
      <c r="N18" s="6">
        <f t="shared" si="4"/>
        <v>89.75</v>
      </c>
      <c r="O18" s="6">
        <v>88.2</v>
      </c>
      <c r="P18" s="6">
        <v>91.3</v>
      </c>
    </row>
    <row r="19" spans="1:16" outlineLevel="1">
      <c r="A19" s="10">
        <v>42095</v>
      </c>
      <c r="B19" s="6">
        <f t="shared" si="0"/>
        <v>86.75</v>
      </c>
      <c r="C19" s="6">
        <v>87.3</v>
      </c>
      <c r="D19" s="6">
        <v>86.2</v>
      </c>
      <c r="E19" s="6">
        <f t="shared" si="1"/>
        <v>91.35</v>
      </c>
      <c r="F19" s="6">
        <v>90.7</v>
      </c>
      <c r="G19" s="6">
        <v>92</v>
      </c>
      <c r="H19" s="6">
        <f t="shared" si="2"/>
        <v>87.4</v>
      </c>
      <c r="I19" s="6">
        <v>89.5</v>
      </c>
      <c r="J19" s="6">
        <v>85.3</v>
      </c>
      <c r="K19" s="6">
        <f t="shared" si="3"/>
        <v>90.05</v>
      </c>
      <c r="L19" s="6">
        <v>90.1</v>
      </c>
      <c r="M19" s="6">
        <v>90</v>
      </c>
      <c r="N19" s="6">
        <f t="shared" si="4"/>
        <v>92.85</v>
      </c>
      <c r="O19" s="6">
        <v>94.6</v>
      </c>
      <c r="P19" s="6">
        <v>91.1</v>
      </c>
    </row>
    <row r="20" spans="1:16" outlineLevel="1">
      <c r="A20" s="10">
        <v>42125</v>
      </c>
      <c r="B20" s="6">
        <f t="shared" si="0"/>
        <v>89.800000000000011</v>
      </c>
      <c r="C20" s="6">
        <v>90.9</v>
      </c>
      <c r="D20" s="6">
        <v>88.7</v>
      </c>
      <c r="E20" s="6">
        <f t="shared" si="1"/>
        <v>87.15</v>
      </c>
      <c r="F20" s="6">
        <v>88.7</v>
      </c>
      <c r="G20" s="6">
        <v>85.6</v>
      </c>
      <c r="H20" s="6">
        <f t="shared" si="2"/>
        <v>89.5</v>
      </c>
      <c r="I20" s="6">
        <v>90.6</v>
      </c>
      <c r="J20" s="6">
        <v>88.4</v>
      </c>
      <c r="K20" s="6">
        <f t="shared" si="3"/>
        <v>92.5</v>
      </c>
      <c r="L20" s="6">
        <v>92.3</v>
      </c>
      <c r="M20" s="6">
        <v>92.7</v>
      </c>
      <c r="N20" s="6">
        <f t="shared" si="4"/>
        <v>88.4</v>
      </c>
      <c r="O20" s="6">
        <v>88.2</v>
      </c>
      <c r="P20" s="6">
        <v>88.6</v>
      </c>
    </row>
    <row r="21" spans="1:16" outlineLevel="1">
      <c r="A21" s="10">
        <v>42156</v>
      </c>
      <c r="B21" s="6">
        <f t="shared" si="0"/>
        <v>93.300000000000011</v>
      </c>
      <c r="C21" s="6">
        <v>92.2</v>
      </c>
      <c r="D21" s="6">
        <v>94.4</v>
      </c>
      <c r="E21" s="6">
        <f t="shared" si="1"/>
        <v>93.550000000000011</v>
      </c>
      <c r="F21" s="6">
        <v>93.7</v>
      </c>
      <c r="G21" s="6">
        <v>93.4</v>
      </c>
      <c r="H21" s="6">
        <f t="shared" si="2"/>
        <v>92.65</v>
      </c>
      <c r="I21" s="6">
        <v>90.9</v>
      </c>
      <c r="J21" s="6">
        <v>94.4</v>
      </c>
      <c r="K21" s="6">
        <f t="shared" si="3"/>
        <v>92.75</v>
      </c>
      <c r="L21" s="6">
        <v>90.5</v>
      </c>
      <c r="M21" s="6">
        <v>95</v>
      </c>
      <c r="N21" s="6">
        <f t="shared" si="4"/>
        <v>89.15</v>
      </c>
      <c r="O21" s="6">
        <v>91.4</v>
      </c>
      <c r="P21" s="6">
        <v>86.9</v>
      </c>
    </row>
    <row r="22" spans="1:16" outlineLevel="1">
      <c r="A22" s="10">
        <v>42186</v>
      </c>
      <c r="B22" s="6">
        <f t="shared" si="0"/>
        <v>91.85</v>
      </c>
      <c r="C22" s="6">
        <v>91</v>
      </c>
      <c r="D22" s="6">
        <v>92.7</v>
      </c>
      <c r="E22" s="6">
        <f t="shared" si="1"/>
        <v>85.6</v>
      </c>
      <c r="F22" s="6">
        <v>85.6</v>
      </c>
      <c r="G22" s="6">
        <v>85.6</v>
      </c>
      <c r="H22" s="6">
        <f t="shared" si="2"/>
        <v>89.75</v>
      </c>
      <c r="I22" s="6">
        <v>89</v>
      </c>
      <c r="J22" s="6">
        <v>90.5</v>
      </c>
      <c r="K22" s="6">
        <f t="shared" si="3"/>
        <v>86.699999999999989</v>
      </c>
      <c r="L22" s="6">
        <v>87.3</v>
      </c>
      <c r="M22" s="6">
        <v>86.1</v>
      </c>
      <c r="N22" s="6">
        <f t="shared" si="4"/>
        <v>89.300000000000011</v>
      </c>
      <c r="O22" s="6">
        <v>87.7</v>
      </c>
      <c r="P22" s="6">
        <v>90.9</v>
      </c>
    </row>
    <row r="23" spans="1:16" outlineLevel="1">
      <c r="A23" s="10">
        <v>42217</v>
      </c>
      <c r="B23" s="6">
        <f t="shared" si="0"/>
        <v>88.9</v>
      </c>
      <c r="C23" s="6">
        <v>85.4</v>
      </c>
      <c r="D23" s="6">
        <v>92.4</v>
      </c>
      <c r="E23" s="6">
        <f t="shared" si="1"/>
        <v>89.85</v>
      </c>
      <c r="F23" s="6">
        <v>85.5</v>
      </c>
      <c r="G23" s="6">
        <v>94.2</v>
      </c>
      <c r="H23" s="6">
        <f t="shared" si="2"/>
        <v>93.15</v>
      </c>
      <c r="I23" s="6">
        <v>92.6</v>
      </c>
      <c r="J23" s="6">
        <v>93.7</v>
      </c>
      <c r="K23" s="6">
        <f t="shared" si="3"/>
        <v>92.5</v>
      </c>
      <c r="L23" s="6">
        <v>90.2</v>
      </c>
      <c r="M23" s="6">
        <v>94.8</v>
      </c>
      <c r="N23" s="6">
        <f t="shared" si="4"/>
        <v>94.1</v>
      </c>
      <c r="O23" s="6">
        <v>94.2</v>
      </c>
      <c r="P23" s="6">
        <v>94</v>
      </c>
    </row>
    <row r="24" spans="1:16" outlineLevel="1">
      <c r="A24" s="10">
        <v>42248</v>
      </c>
      <c r="B24" s="6">
        <f t="shared" si="0"/>
        <v>90.2</v>
      </c>
      <c r="C24" s="6">
        <v>90.4</v>
      </c>
      <c r="D24" s="6">
        <v>90</v>
      </c>
      <c r="E24" s="6">
        <f t="shared" si="1"/>
        <v>92.15</v>
      </c>
      <c r="F24" s="6">
        <v>92</v>
      </c>
      <c r="G24" s="6">
        <v>92.3</v>
      </c>
      <c r="H24" s="6">
        <f t="shared" si="2"/>
        <v>91.2</v>
      </c>
      <c r="I24" s="6">
        <v>91.7</v>
      </c>
      <c r="J24" s="6">
        <v>90.7</v>
      </c>
      <c r="K24" s="6">
        <f t="shared" si="3"/>
        <v>91.199999999999989</v>
      </c>
      <c r="L24" s="6">
        <v>91.3</v>
      </c>
      <c r="M24" s="6">
        <v>91.1</v>
      </c>
      <c r="N24" s="6">
        <f t="shared" si="4"/>
        <v>88.05</v>
      </c>
      <c r="O24" s="6">
        <v>89</v>
      </c>
      <c r="P24" s="6">
        <v>87.1</v>
      </c>
    </row>
    <row r="25" spans="1:16" outlineLevel="1">
      <c r="A25" s="10">
        <v>42278</v>
      </c>
      <c r="B25" s="4"/>
      <c r="C25" s="4"/>
      <c r="D25" s="4"/>
      <c r="E25" s="4"/>
      <c r="F25" s="4"/>
      <c r="G25" s="4"/>
      <c r="H25" s="4"/>
      <c r="I25" s="4"/>
      <c r="J25" s="4"/>
      <c r="K25" s="4"/>
      <c r="L25" s="4"/>
      <c r="M25" s="4"/>
      <c r="N25" s="4"/>
      <c r="O25" s="4"/>
      <c r="P25" s="4"/>
    </row>
    <row r="26" spans="1:16" outlineLevel="1">
      <c r="A26" s="10">
        <v>42309</v>
      </c>
      <c r="B26" s="4"/>
      <c r="C26" s="4"/>
      <c r="D26" s="4"/>
      <c r="E26" s="4"/>
      <c r="F26" s="4"/>
      <c r="G26" s="4"/>
      <c r="H26" s="4"/>
      <c r="I26" s="4"/>
      <c r="J26" s="4"/>
      <c r="K26" s="4"/>
      <c r="L26" s="4"/>
      <c r="M26" s="4"/>
      <c r="N26" s="4"/>
      <c r="O26" s="4"/>
      <c r="P26" s="4"/>
    </row>
    <row r="27" spans="1:16" outlineLevel="1">
      <c r="A27" s="10">
        <v>42339</v>
      </c>
      <c r="B27" s="4"/>
      <c r="C27" s="4"/>
      <c r="D27" s="4"/>
      <c r="E27" s="4"/>
      <c r="F27" s="4"/>
      <c r="G27" s="4"/>
      <c r="H27" s="4"/>
      <c r="I27" s="4"/>
      <c r="J27" s="4"/>
      <c r="K27" s="4"/>
      <c r="L27" s="4"/>
      <c r="M27" s="4"/>
      <c r="N27" s="4"/>
      <c r="O27" s="4"/>
      <c r="P27" s="4"/>
    </row>
  </sheetData>
  <mergeCells count="7">
    <mergeCell ref="A1:P1"/>
    <mergeCell ref="B2:D2"/>
    <mergeCell ref="E2:G2"/>
    <mergeCell ref="H2:J2"/>
    <mergeCell ref="K2:M2"/>
    <mergeCell ref="N2:P2"/>
    <mergeCell ref="A2:A3"/>
  </mergeCells>
  <phoneticPr fontId="1" type="noConversion"/>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19"/>
  <sheetViews>
    <sheetView workbookViewId="0">
      <selection activeCell="A2" sqref="A2:Y19"/>
    </sheetView>
  </sheetViews>
  <sheetFormatPr defaultRowHeight="13.5" outlineLevelRow="1"/>
  <cols>
    <col min="2" max="25" width="5.625" customWidth="1"/>
  </cols>
  <sheetData>
    <row r="1" spans="1:25" ht="26.25" customHeight="1">
      <c r="A1" s="14" t="s">
        <v>40</v>
      </c>
      <c r="B1" s="14"/>
      <c r="C1" s="14"/>
      <c r="D1" s="14"/>
      <c r="E1" s="14"/>
      <c r="F1" s="14"/>
      <c r="G1" s="14"/>
      <c r="H1" s="14"/>
      <c r="I1" s="14"/>
      <c r="J1" s="14"/>
      <c r="K1" s="14"/>
      <c r="L1" s="14"/>
      <c r="M1" s="14"/>
      <c r="N1" s="14"/>
      <c r="O1" s="14"/>
      <c r="P1" s="14"/>
      <c r="Q1" s="14"/>
      <c r="R1" s="14"/>
      <c r="S1" s="14"/>
      <c r="T1" s="14"/>
      <c r="U1" s="14"/>
      <c r="V1" s="14"/>
      <c r="W1" s="14"/>
      <c r="X1" s="14"/>
      <c r="Y1" s="14"/>
    </row>
    <row r="2" spans="1:25" outlineLevel="1">
      <c r="A2" s="12" t="s">
        <v>39</v>
      </c>
      <c r="B2" s="12" t="s">
        <v>21</v>
      </c>
      <c r="C2" s="12"/>
      <c r="D2" s="12"/>
      <c r="E2" s="12"/>
      <c r="F2" s="12"/>
      <c r="G2" s="12"/>
      <c r="H2" s="12"/>
      <c r="I2" s="12"/>
      <c r="J2" s="12"/>
      <c r="K2" s="12"/>
      <c r="L2" s="12"/>
      <c r="M2" s="12"/>
      <c r="N2" s="12" t="s">
        <v>22</v>
      </c>
      <c r="O2" s="12"/>
      <c r="P2" s="12"/>
      <c r="Q2" s="12"/>
      <c r="R2" s="12"/>
      <c r="S2" s="12"/>
      <c r="T2" s="12"/>
      <c r="U2" s="12"/>
      <c r="V2" s="12"/>
      <c r="W2" s="12"/>
      <c r="X2" s="12"/>
      <c r="Y2" s="12"/>
    </row>
    <row r="3" spans="1:25" outlineLevel="1">
      <c r="A3" s="3"/>
      <c r="B3" s="4" t="s">
        <v>9</v>
      </c>
      <c r="C3" s="4" t="s">
        <v>10</v>
      </c>
      <c r="D3" s="4" t="s">
        <v>11</v>
      </c>
      <c r="E3" s="4" t="s">
        <v>12</v>
      </c>
      <c r="F3" s="4" t="s">
        <v>13</v>
      </c>
      <c r="G3" s="4" t="s">
        <v>14</v>
      </c>
      <c r="H3" s="4" t="s">
        <v>15</v>
      </c>
      <c r="I3" s="4" t="s">
        <v>16</v>
      </c>
      <c r="J3" s="4" t="s">
        <v>17</v>
      </c>
      <c r="K3" s="4" t="s">
        <v>18</v>
      </c>
      <c r="L3" s="4" t="s">
        <v>19</v>
      </c>
      <c r="M3" s="4" t="s">
        <v>20</v>
      </c>
      <c r="N3" s="4" t="s">
        <v>9</v>
      </c>
      <c r="O3" s="4" t="s">
        <v>10</v>
      </c>
      <c r="P3" s="4" t="s">
        <v>11</v>
      </c>
      <c r="Q3" s="4" t="s">
        <v>12</v>
      </c>
      <c r="R3" s="4" t="s">
        <v>13</v>
      </c>
      <c r="S3" s="4" t="s">
        <v>14</v>
      </c>
      <c r="T3" s="4" t="s">
        <v>15</v>
      </c>
      <c r="U3" s="4" t="s">
        <v>16</v>
      </c>
      <c r="V3" s="4" t="s">
        <v>17</v>
      </c>
      <c r="W3" s="4" t="s">
        <v>18</v>
      </c>
      <c r="X3" s="4" t="s">
        <v>19</v>
      </c>
      <c r="Y3" s="4" t="s">
        <v>20</v>
      </c>
    </row>
    <row r="4" spans="1:25" outlineLevel="1">
      <c r="A4" s="7" t="s">
        <v>41</v>
      </c>
      <c r="B4" s="8">
        <f>AVERAGE(B5:B19)</f>
        <v>85.593333333333334</v>
      </c>
      <c r="C4" s="8">
        <f t="shared" ref="C4:V4" si="0">AVERAGE(C5:C19)</f>
        <v>84.426666666666677</v>
      </c>
      <c r="D4" s="8">
        <f t="shared" si="0"/>
        <v>85.153333333333336</v>
      </c>
      <c r="E4" s="8">
        <f t="shared" si="0"/>
        <v>84.08</v>
      </c>
      <c r="F4" s="8">
        <f t="shared" si="0"/>
        <v>85.346666666666678</v>
      </c>
      <c r="G4" s="8">
        <f t="shared" si="0"/>
        <v>83.553333333333342</v>
      </c>
      <c r="H4" s="8">
        <f t="shared" si="0"/>
        <v>85.393333333333331</v>
      </c>
      <c r="I4" s="8">
        <f t="shared" si="0"/>
        <v>85.626666666666651</v>
      </c>
      <c r="J4" s="8">
        <f t="shared" si="0"/>
        <v>83.293333333333322</v>
      </c>
      <c r="K4" s="8">
        <f t="shared" si="0"/>
        <v>84.373333333333321</v>
      </c>
      <c r="L4" s="8">
        <f t="shared" si="0"/>
        <v>83.840000000000018</v>
      </c>
      <c r="M4" s="8">
        <f t="shared" si="0"/>
        <v>84.420000000000016</v>
      </c>
      <c r="N4" s="8">
        <f t="shared" si="0"/>
        <v>89.759999999999991</v>
      </c>
      <c r="O4" s="8">
        <f t="shared" si="0"/>
        <v>91.026666666666657</v>
      </c>
      <c r="P4" s="8">
        <f t="shared" si="0"/>
        <v>90.273333333333312</v>
      </c>
      <c r="Q4" s="8">
        <f t="shared" si="0"/>
        <v>89.213333333333324</v>
      </c>
      <c r="R4" s="8">
        <f t="shared" si="0"/>
        <v>89.76666666666668</v>
      </c>
      <c r="S4" s="8">
        <f t="shared" si="0"/>
        <v>89.686666666666653</v>
      </c>
      <c r="T4" s="8">
        <f t="shared" si="0"/>
        <v>91.11333333333333</v>
      </c>
      <c r="U4" s="8">
        <f t="shared" si="0"/>
        <v>90.34</v>
      </c>
      <c r="V4" s="8">
        <f t="shared" si="0"/>
        <v>90.54</v>
      </c>
      <c r="W4" s="4"/>
      <c r="X4" s="4"/>
      <c r="Y4" s="4"/>
    </row>
    <row r="5" spans="1:25" outlineLevel="1">
      <c r="A5" s="5" t="s">
        <v>23</v>
      </c>
      <c r="B5" s="6">
        <v>85.2</v>
      </c>
      <c r="C5" s="6">
        <v>87.6</v>
      </c>
      <c r="D5" s="6">
        <v>85.4</v>
      </c>
      <c r="E5" s="6">
        <v>82.6</v>
      </c>
      <c r="F5" s="6">
        <v>86.7</v>
      </c>
      <c r="G5" s="6">
        <v>83.5</v>
      </c>
      <c r="H5" s="6">
        <v>89.2</v>
      </c>
      <c r="I5" s="6">
        <v>82.7</v>
      </c>
      <c r="J5" s="6">
        <v>85.5</v>
      </c>
      <c r="K5" s="6">
        <v>80.900000000000006</v>
      </c>
      <c r="L5" s="6">
        <v>84.6</v>
      </c>
      <c r="M5" s="6">
        <v>85.8</v>
      </c>
      <c r="N5" s="6">
        <v>88.2</v>
      </c>
      <c r="O5" s="6">
        <v>92.1</v>
      </c>
      <c r="P5" s="6">
        <v>92.3</v>
      </c>
      <c r="Q5" s="6">
        <v>92.5</v>
      </c>
      <c r="R5" s="6">
        <v>85.9</v>
      </c>
      <c r="S5" s="6">
        <v>90.7</v>
      </c>
      <c r="T5" s="6">
        <v>93.8</v>
      </c>
      <c r="U5" s="6">
        <v>87.4</v>
      </c>
      <c r="V5" s="6">
        <v>86.5</v>
      </c>
      <c r="W5" s="5"/>
      <c r="X5" s="5"/>
      <c r="Y5" s="5"/>
    </row>
    <row r="6" spans="1:25" outlineLevel="1">
      <c r="A6" s="5" t="s">
        <v>24</v>
      </c>
      <c r="B6" s="6">
        <v>83</v>
      </c>
      <c r="C6" s="6">
        <v>85.5</v>
      </c>
      <c r="D6" s="6">
        <v>85.9</v>
      </c>
      <c r="E6" s="6">
        <v>85.4</v>
      </c>
      <c r="F6" s="6">
        <v>82.2</v>
      </c>
      <c r="G6" s="6">
        <v>86.6</v>
      </c>
      <c r="H6" s="6">
        <v>84.2</v>
      </c>
      <c r="I6" s="6">
        <v>87.8</v>
      </c>
      <c r="J6" s="6">
        <v>87.4</v>
      </c>
      <c r="K6" s="6">
        <v>83.7</v>
      </c>
      <c r="L6" s="6">
        <v>85.7</v>
      </c>
      <c r="M6" s="6">
        <v>83.3</v>
      </c>
      <c r="N6" s="6">
        <v>93.5</v>
      </c>
      <c r="O6" s="6">
        <v>93.8</v>
      </c>
      <c r="P6" s="6">
        <v>85.3</v>
      </c>
      <c r="Q6" s="6">
        <v>89.1</v>
      </c>
      <c r="R6" s="6">
        <v>87</v>
      </c>
      <c r="S6" s="6">
        <v>91.5</v>
      </c>
      <c r="T6" s="6">
        <v>91.3</v>
      </c>
      <c r="U6" s="6">
        <v>91.4</v>
      </c>
      <c r="V6" s="6">
        <v>94.1</v>
      </c>
      <c r="W6" s="5"/>
      <c r="X6" s="5"/>
      <c r="Y6" s="5"/>
    </row>
    <row r="7" spans="1:25" outlineLevel="1">
      <c r="A7" s="5" t="s">
        <v>25</v>
      </c>
      <c r="B7" s="6">
        <v>87</v>
      </c>
      <c r="C7" s="6">
        <v>80.2</v>
      </c>
      <c r="D7" s="6">
        <v>80.8</v>
      </c>
      <c r="E7" s="6">
        <v>84.1</v>
      </c>
      <c r="F7" s="6">
        <v>87.9</v>
      </c>
      <c r="G7" s="6">
        <v>85</v>
      </c>
      <c r="H7" s="6">
        <v>86.8</v>
      </c>
      <c r="I7" s="6">
        <v>84.1</v>
      </c>
      <c r="J7" s="6">
        <v>83.9</v>
      </c>
      <c r="K7" s="6">
        <v>82</v>
      </c>
      <c r="L7" s="6">
        <v>83.3</v>
      </c>
      <c r="M7" s="6">
        <v>81.900000000000006</v>
      </c>
      <c r="N7" s="6">
        <v>85.7</v>
      </c>
      <c r="O7" s="6">
        <v>94.3</v>
      </c>
      <c r="P7" s="6">
        <v>89.1</v>
      </c>
      <c r="Q7" s="6">
        <v>85.6</v>
      </c>
      <c r="R7" s="6">
        <v>91.9</v>
      </c>
      <c r="S7" s="6">
        <v>85.7</v>
      </c>
      <c r="T7" s="6">
        <v>92.5</v>
      </c>
      <c r="U7" s="6">
        <v>86.8</v>
      </c>
      <c r="V7" s="6">
        <v>87.1</v>
      </c>
      <c r="W7" s="5"/>
      <c r="X7" s="5"/>
      <c r="Y7" s="5"/>
    </row>
    <row r="8" spans="1:25" outlineLevel="1">
      <c r="A8" s="5" t="s">
        <v>26</v>
      </c>
      <c r="B8" s="6">
        <v>85.9</v>
      </c>
      <c r="C8" s="6">
        <v>89.2</v>
      </c>
      <c r="D8" s="6">
        <v>85.8</v>
      </c>
      <c r="E8" s="6">
        <v>80.099999999999994</v>
      </c>
      <c r="F8" s="6">
        <v>86.7</v>
      </c>
      <c r="G8" s="6">
        <v>86.2</v>
      </c>
      <c r="H8" s="6">
        <v>88.1</v>
      </c>
      <c r="I8" s="6">
        <v>87.5</v>
      </c>
      <c r="J8" s="6">
        <v>81.7</v>
      </c>
      <c r="K8" s="6">
        <v>85.5</v>
      </c>
      <c r="L8" s="6">
        <v>87.3</v>
      </c>
      <c r="M8" s="6">
        <v>86.6</v>
      </c>
      <c r="N8" s="6">
        <v>90.7</v>
      </c>
      <c r="O8" s="6">
        <v>85.6</v>
      </c>
      <c r="P8" s="6">
        <v>92.1</v>
      </c>
      <c r="Q8" s="6">
        <v>94.7</v>
      </c>
      <c r="R8" s="6">
        <v>86.3</v>
      </c>
      <c r="S8" s="6">
        <v>92.8</v>
      </c>
      <c r="T8" s="6">
        <v>85.2</v>
      </c>
      <c r="U8" s="6">
        <v>93.9</v>
      </c>
      <c r="V8" s="6">
        <v>94.9</v>
      </c>
      <c r="W8" s="5"/>
      <c r="X8" s="5"/>
      <c r="Y8" s="5"/>
    </row>
    <row r="9" spans="1:25" outlineLevel="1">
      <c r="A9" s="5" t="s">
        <v>27</v>
      </c>
      <c r="B9" s="6">
        <v>85.2</v>
      </c>
      <c r="C9" s="6">
        <v>80</v>
      </c>
      <c r="D9" s="6">
        <v>85.6</v>
      </c>
      <c r="E9" s="6">
        <v>85.5</v>
      </c>
      <c r="F9" s="6">
        <v>84.6</v>
      </c>
      <c r="G9" s="6">
        <v>87</v>
      </c>
      <c r="H9" s="6">
        <v>88.5</v>
      </c>
      <c r="I9" s="6">
        <v>81.8</v>
      </c>
      <c r="J9" s="6">
        <v>88.1</v>
      </c>
      <c r="K9" s="6">
        <v>89.6</v>
      </c>
      <c r="L9" s="6">
        <v>81.900000000000006</v>
      </c>
      <c r="M9" s="6">
        <v>86.8</v>
      </c>
      <c r="N9" s="6">
        <v>90.4</v>
      </c>
      <c r="O9" s="6">
        <v>94.7</v>
      </c>
      <c r="P9" s="6">
        <v>88.3</v>
      </c>
      <c r="Q9" s="6">
        <v>86.9</v>
      </c>
      <c r="R9" s="6">
        <v>85.4</v>
      </c>
      <c r="S9" s="6">
        <v>88.8</v>
      </c>
      <c r="T9" s="6">
        <v>89.2</v>
      </c>
      <c r="U9" s="6">
        <v>88.4</v>
      </c>
      <c r="V9" s="6">
        <v>87.3</v>
      </c>
      <c r="W9" s="5"/>
      <c r="X9" s="5"/>
      <c r="Y9" s="5"/>
    </row>
    <row r="10" spans="1:25" outlineLevel="1">
      <c r="A10" s="5" t="s">
        <v>28</v>
      </c>
      <c r="B10" s="6">
        <v>88.8</v>
      </c>
      <c r="C10" s="6">
        <v>80.900000000000006</v>
      </c>
      <c r="D10" s="6">
        <v>87</v>
      </c>
      <c r="E10" s="6">
        <v>80.7</v>
      </c>
      <c r="F10" s="6">
        <v>88.1</v>
      </c>
      <c r="G10" s="6">
        <v>86.7</v>
      </c>
      <c r="H10" s="6">
        <v>82.4</v>
      </c>
      <c r="I10" s="6">
        <v>84.9</v>
      </c>
      <c r="J10" s="6">
        <v>81.2</v>
      </c>
      <c r="K10" s="6">
        <v>85.4</v>
      </c>
      <c r="L10" s="6">
        <v>81.3</v>
      </c>
      <c r="M10" s="6">
        <v>85</v>
      </c>
      <c r="N10" s="6">
        <v>88.5</v>
      </c>
      <c r="O10" s="6">
        <v>86.9</v>
      </c>
      <c r="P10" s="6">
        <v>93.1</v>
      </c>
      <c r="Q10" s="6">
        <v>91.1</v>
      </c>
      <c r="R10" s="6">
        <v>94.2</v>
      </c>
      <c r="S10" s="6">
        <v>90.3</v>
      </c>
      <c r="T10" s="6">
        <v>94.4</v>
      </c>
      <c r="U10" s="6">
        <v>89.7</v>
      </c>
      <c r="V10" s="6">
        <v>90.7</v>
      </c>
      <c r="W10" s="5"/>
      <c r="X10" s="5"/>
      <c r="Y10" s="5"/>
    </row>
    <row r="11" spans="1:25" outlineLevel="1">
      <c r="A11" s="5" t="s">
        <v>29</v>
      </c>
      <c r="B11" s="6">
        <v>80.8</v>
      </c>
      <c r="C11" s="6">
        <v>87</v>
      </c>
      <c r="D11" s="6">
        <v>89.2</v>
      </c>
      <c r="E11" s="6">
        <v>81.099999999999994</v>
      </c>
      <c r="F11" s="6">
        <v>81.5</v>
      </c>
      <c r="G11" s="6">
        <v>80.5</v>
      </c>
      <c r="H11" s="6">
        <v>81.7</v>
      </c>
      <c r="I11" s="6">
        <v>87.9</v>
      </c>
      <c r="J11" s="6">
        <v>86.4</v>
      </c>
      <c r="K11" s="6">
        <v>83.9</v>
      </c>
      <c r="L11" s="6">
        <v>80.5</v>
      </c>
      <c r="M11" s="6">
        <v>86.9</v>
      </c>
      <c r="N11" s="6">
        <v>93.7</v>
      </c>
      <c r="O11" s="6">
        <v>95</v>
      </c>
      <c r="P11" s="6">
        <v>88.9</v>
      </c>
      <c r="Q11" s="6">
        <v>88.2</v>
      </c>
      <c r="R11" s="6">
        <v>91</v>
      </c>
      <c r="S11" s="6">
        <v>90.2</v>
      </c>
      <c r="T11" s="6">
        <v>93</v>
      </c>
      <c r="U11" s="6">
        <v>94.7</v>
      </c>
      <c r="V11" s="6">
        <v>90.4</v>
      </c>
      <c r="W11" s="5"/>
      <c r="X11" s="5"/>
      <c r="Y11" s="5"/>
    </row>
    <row r="12" spans="1:25" outlineLevel="1">
      <c r="A12" s="5" t="s">
        <v>30</v>
      </c>
      <c r="B12" s="6">
        <v>87.1</v>
      </c>
      <c r="C12" s="6">
        <v>80.3</v>
      </c>
      <c r="D12" s="6">
        <v>84.8</v>
      </c>
      <c r="E12" s="6">
        <v>81.2</v>
      </c>
      <c r="F12" s="6">
        <v>81</v>
      </c>
      <c r="G12" s="6">
        <v>84.9</v>
      </c>
      <c r="H12" s="6">
        <v>80.3</v>
      </c>
      <c r="I12" s="6">
        <v>85.3</v>
      </c>
      <c r="J12" s="6">
        <v>82.3</v>
      </c>
      <c r="K12" s="6">
        <v>80.7</v>
      </c>
      <c r="L12" s="6">
        <v>84.6</v>
      </c>
      <c r="M12" s="6">
        <v>81.7</v>
      </c>
      <c r="N12" s="6">
        <v>94.8</v>
      </c>
      <c r="O12" s="6">
        <v>92.2</v>
      </c>
      <c r="P12" s="6">
        <v>89.8</v>
      </c>
      <c r="Q12" s="6">
        <v>89.4</v>
      </c>
      <c r="R12" s="6">
        <v>93.2</v>
      </c>
      <c r="S12" s="6">
        <v>92.8</v>
      </c>
      <c r="T12" s="6">
        <v>91.2</v>
      </c>
      <c r="U12" s="6">
        <v>90.7</v>
      </c>
      <c r="V12" s="6">
        <v>94.9</v>
      </c>
      <c r="W12" s="5"/>
      <c r="X12" s="5"/>
      <c r="Y12" s="5"/>
    </row>
    <row r="13" spans="1:25" outlineLevel="1">
      <c r="A13" s="5" t="s">
        <v>31</v>
      </c>
      <c r="B13" s="6">
        <v>87.9</v>
      </c>
      <c r="C13" s="6">
        <v>84.3</v>
      </c>
      <c r="D13" s="6">
        <v>89.5</v>
      </c>
      <c r="E13" s="6">
        <v>88.1</v>
      </c>
      <c r="F13" s="6">
        <v>88.1</v>
      </c>
      <c r="G13" s="6">
        <v>83.3</v>
      </c>
      <c r="H13" s="6">
        <v>87.8</v>
      </c>
      <c r="I13" s="6">
        <v>87.2</v>
      </c>
      <c r="J13" s="6">
        <v>83.5</v>
      </c>
      <c r="K13" s="6">
        <v>80.900000000000006</v>
      </c>
      <c r="L13" s="6">
        <v>86.7</v>
      </c>
      <c r="M13" s="6">
        <v>80.2</v>
      </c>
      <c r="N13" s="6">
        <v>87.3</v>
      </c>
      <c r="O13" s="6">
        <v>91.3</v>
      </c>
      <c r="P13" s="6">
        <v>94</v>
      </c>
      <c r="Q13" s="6">
        <v>87.8</v>
      </c>
      <c r="R13" s="6">
        <v>94.6</v>
      </c>
      <c r="S13" s="6">
        <v>94.3</v>
      </c>
      <c r="T13" s="6">
        <v>89.3</v>
      </c>
      <c r="U13" s="6">
        <v>89.6</v>
      </c>
      <c r="V13" s="6">
        <v>89.2</v>
      </c>
      <c r="W13" s="5"/>
      <c r="X13" s="5"/>
      <c r="Y13" s="5"/>
    </row>
    <row r="14" spans="1:25" outlineLevel="1">
      <c r="A14" s="5" t="s">
        <v>33</v>
      </c>
      <c r="B14" s="6">
        <v>86.9</v>
      </c>
      <c r="C14" s="6">
        <v>84.9</v>
      </c>
      <c r="D14" s="6">
        <v>81</v>
      </c>
      <c r="E14" s="6">
        <v>89.6</v>
      </c>
      <c r="F14" s="6">
        <v>82.7</v>
      </c>
      <c r="G14" s="6">
        <v>81.2</v>
      </c>
      <c r="H14" s="6">
        <v>81.900000000000006</v>
      </c>
      <c r="I14" s="6">
        <v>87</v>
      </c>
      <c r="J14" s="6">
        <v>80.099999999999994</v>
      </c>
      <c r="K14" s="6">
        <v>88.8</v>
      </c>
      <c r="L14" s="6">
        <v>85.5</v>
      </c>
      <c r="M14" s="6">
        <v>85.6</v>
      </c>
      <c r="N14" s="6">
        <v>85.6</v>
      </c>
      <c r="O14" s="6">
        <v>91</v>
      </c>
      <c r="P14" s="6">
        <v>91.4</v>
      </c>
      <c r="Q14" s="6">
        <v>87.9</v>
      </c>
      <c r="R14" s="6">
        <v>85.6</v>
      </c>
      <c r="S14" s="6">
        <v>88.3</v>
      </c>
      <c r="T14" s="6">
        <v>94</v>
      </c>
      <c r="U14" s="6">
        <v>94.1</v>
      </c>
      <c r="V14" s="6">
        <v>88.7</v>
      </c>
      <c r="W14" s="5"/>
      <c r="X14" s="5"/>
      <c r="Y14" s="5"/>
    </row>
    <row r="15" spans="1:25" outlineLevel="1">
      <c r="A15" s="5" t="s">
        <v>34</v>
      </c>
      <c r="B15" s="6">
        <v>88.1</v>
      </c>
      <c r="C15" s="6">
        <v>89.8</v>
      </c>
      <c r="D15" s="6">
        <v>85.3</v>
      </c>
      <c r="E15" s="6">
        <v>87.8</v>
      </c>
      <c r="F15" s="6">
        <v>85.8</v>
      </c>
      <c r="G15" s="6">
        <v>81.5</v>
      </c>
      <c r="H15" s="6">
        <v>86</v>
      </c>
      <c r="I15" s="6">
        <v>81.8</v>
      </c>
      <c r="J15" s="6">
        <v>84.5</v>
      </c>
      <c r="K15" s="6">
        <v>83.3</v>
      </c>
      <c r="L15" s="6">
        <v>84.1</v>
      </c>
      <c r="M15" s="6">
        <v>83.3</v>
      </c>
      <c r="N15" s="6">
        <v>93.8</v>
      </c>
      <c r="O15" s="6">
        <v>87.1</v>
      </c>
      <c r="P15" s="6">
        <v>89.8</v>
      </c>
      <c r="Q15" s="6">
        <v>92.9</v>
      </c>
      <c r="R15" s="6">
        <v>85.4</v>
      </c>
      <c r="S15" s="6">
        <v>89.3</v>
      </c>
      <c r="T15" s="6">
        <v>88.2</v>
      </c>
      <c r="U15" s="6">
        <v>92.9</v>
      </c>
      <c r="V15" s="6">
        <v>85.8</v>
      </c>
      <c r="W15" s="5"/>
      <c r="X15" s="5"/>
      <c r="Y15" s="5"/>
    </row>
    <row r="16" spans="1:25" outlineLevel="1">
      <c r="A16" s="5" t="s">
        <v>35</v>
      </c>
      <c r="B16" s="6">
        <v>83</v>
      </c>
      <c r="C16" s="6">
        <v>81.2</v>
      </c>
      <c r="D16" s="6">
        <v>84.3</v>
      </c>
      <c r="E16" s="6">
        <v>83.6</v>
      </c>
      <c r="F16" s="6">
        <v>85.5</v>
      </c>
      <c r="G16" s="6">
        <v>80.2</v>
      </c>
      <c r="H16" s="6">
        <v>87.6</v>
      </c>
      <c r="I16" s="6">
        <v>80.900000000000006</v>
      </c>
      <c r="J16" s="6">
        <v>80.400000000000006</v>
      </c>
      <c r="K16" s="6">
        <v>87.5</v>
      </c>
      <c r="L16" s="6">
        <v>87.4</v>
      </c>
      <c r="M16" s="6">
        <v>87</v>
      </c>
      <c r="N16" s="6">
        <v>93.2</v>
      </c>
      <c r="O16" s="6">
        <v>94.7</v>
      </c>
      <c r="P16" s="6">
        <v>92</v>
      </c>
      <c r="Q16" s="6">
        <v>91.3</v>
      </c>
      <c r="R16" s="6">
        <v>93.1</v>
      </c>
      <c r="S16" s="6">
        <v>85.8</v>
      </c>
      <c r="T16" s="6">
        <v>88.3</v>
      </c>
      <c r="U16" s="6">
        <v>86.8</v>
      </c>
      <c r="V16" s="6">
        <v>88.3</v>
      </c>
      <c r="W16" s="5"/>
      <c r="X16" s="5"/>
      <c r="Y16" s="5"/>
    </row>
    <row r="17" spans="1:25" outlineLevel="1">
      <c r="A17" s="5" t="s">
        <v>36</v>
      </c>
      <c r="B17" s="6">
        <v>89.8</v>
      </c>
      <c r="C17" s="6">
        <v>83.4</v>
      </c>
      <c r="D17" s="6">
        <v>89.1</v>
      </c>
      <c r="E17" s="6">
        <v>83.9</v>
      </c>
      <c r="F17" s="6">
        <v>85.8</v>
      </c>
      <c r="G17" s="6">
        <v>81.099999999999994</v>
      </c>
      <c r="H17" s="6">
        <v>84.8</v>
      </c>
      <c r="I17" s="6">
        <v>89.7</v>
      </c>
      <c r="J17" s="6">
        <v>82.1</v>
      </c>
      <c r="K17" s="6">
        <v>81.599999999999994</v>
      </c>
      <c r="L17" s="6">
        <v>82.6</v>
      </c>
      <c r="M17" s="6">
        <v>85.3</v>
      </c>
      <c r="N17" s="6">
        <v>87.4</v>
      </c>
      <c r="O17" s="6">
        <v>86.3</v>
      </c>
      <c r="P17" s="6">
        <v>92.1</v>
      </c>
      <c r="Q17" s="6">
        <v>85.6</v>
      </c>
      <c r="R17" s="6">
        <v>94</v>
      </c>
      <c r="S17" s="6">
        <v>93.8</v>
      </c>
      <c r="T17" s="6">
        <v>88.5</v>
      </c>
      <c r="U17" s="6">
        <v>85.4</v>
      </c>
      <c r="V17" s="6">
        <v>93.4</v>
      </c>
      <c r="W17" s="5"/>
      <c r="X17" s="5"/>
      <c r="Y17" s="5"/>
    </row>
    <row r="18" spans="1:25" outlineLevel="1">
      <c r="A18" s="5" t="s">
        <v>32</v>
      </c>
      <c r="B18" s="6">
        <v>81.3</v>
      </c>
      <c r="C18" s="6">
        <v>86.7</v>
      </c>
      <c r="D18" s="6">
        <v>80.400000000000006</v>
      </c>
      <c r="E18" s="6">
        <v>81.599999999999994</v>
      </c>
      <c r="F18" s="6">
        <v>83.9</v>
      </c>
      <c r="G18" s="6">
        <v>82.2</v>
      </c>
      <c r="H18" s="6">
        <v>83.2</v>
      </c>
      <c r="I18" s="6">
        <v>86.2</v>
      </c>
      <c r="J18" s="6">
        <v>82.3</v>
      </c>
      <c r="K18" s="6">
        <v>88.5</v>
      </c>
      <c r="L18" s="6">
        <v>81.900000000000006</v>
      </c>
      <c r="M18" s="6">
        <v>80</v>
      </c>
      <c r="N18" s="6">
        <v>86.8</v>
      </c>
      <c r="O18" s="6">
        <v>86.6</v>
      </c>
      <c r="P18" s="6">
        <v>87.8</v>
      </c>
      <c r="Q18" s="6">
        <v>87.5</v>
      </c>
      <c r="R18" s="6">
        <v>85.2</v>
      </c>
      <c r="S18" s="6">
        <v>85.2</v>
      </c>
      <c r="T18" s="6">
        <v>94.5</v>
      </c>
      <c r="U18" s="6">
        <v>93</v>
      </c>
      <c r="V18" s="6">
        <v>94</v>
      </c>
      <c r="W18" s="5"/>
      <c r="X18" s="5"/>
      <c r="Y18" s="5"/>
    </row>
    <row r="19" spans="1:25" outlineLevel="1">
      <c r="A19" s="5" t="s">
        <v>37</v>
      </c>
      <c r="B19" s="6">
        <v>83.9</v>
      </c>
      <c r="C19" s="6">
        <v>85.4</v>
      </c>
      <c r="D19" s="6">
        <v>83.2</v>
      </c>
      <c r="E19" s="6">
        <v>85.9</v>
      </c>
      <c r="F19" s="6">
        <v>89.7</v>
      </c>
      <c r="G19" s="6">
        <v>83.4</v>
      </c>
      <c r="H19" s="6">
        <v>88.4</v>
      </c>
      <c r="I19" s="6">
        <v>89.6</v>
      </c>
      <c r="J19" s="6">
        <v>80</v>
      </c>
      <c r="K19" s="6">
        <v>83.3</v>
      </c>
      <c r="L19" s="6">
        <v>80.2</v>
      </c>
      <c r="M19" s="6">
        <v>86.9</v>
      </c>
      <c r="N19" s="6">
        <v>86.8</v>
      </c>
      <c r="O19" s="6">
        <v>93.8</v>
      </c>
      <c r="P19" s="6">
        <v>88.1</v>
      </c>
      <c r="Q19" s="6">
        <v>87.7</v>
      </c>
      <c r="R19" s="6">
        <v>93.7</v>
      </c>
      <c r="S19" s="6">
        <v>85.8</v>
      </c>
      <c r="T19" s="6">
        <v>93.3</v>
      </c>
      <c r="U19" s="6">
        <v>90.3</v>
      </c>
      <c r="V19" s="6">
        <v>92.8</v>
      </c>
      <c r="W19" s="5"/>
      <c r="X19" s="5"/>
      <c r="Y19" s="5"/>
    </row>
  </sheetData>
  <mergeCells count="4">
    <mergeCell ref="B2:M2"/>
    <mergeCell ref="N2:Y2"/>
    <mergeCell ref="A2:A3"/>
    <mergeCell ref="A1:Y1"/>
  </mergeCells>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333"/>
  <sheetViews>
    <sheetView workbookViewId="0">
      <selection activeCell="A2" sqref="A2:H17"/>
    </sheetView>
  </sheetViews>
  <sheetFormatPr defaultRowHeight="13.5"/>
  <cols>
    <col min="2" max="2" width="11.375" bestFit="1" customWidth="1"/>
    <col min="3" max="8" width="10.625" style="1" customWidth="1"/>
    <col min="9" max="16" width="5.625" customWidth="1"/>
  </cols>
  <sheetData>
    <row r="1" spans="1:16" ht="26.25" customHeight="1">
      <c r="A1" s="14" t="s">
        <v>47</v>
      </c>
      <c r="B1" s="14"/>
      <c r="C1" s="14"/>
      <c r="D1" s="14"/>
      <c r="E1" s="14"/>
      <c r="F1" s="14"/>
      <c r="G1" s="14"/>
      <c r="H1" s="14"/>
      <c r="I1" s="17"/>
      <c r="J1" s="17"/>
      <c r="K1" s="17"/>
      <c r="L1" s="17"/>
      <c r="M1" s="17"/>
      <c r="N1" s="17"/>
      <c r="O1" s="17"/>
      <c r="P1" s="17"/>
    </row>
    <row r="2" spans="1:16">
      <c r="A2" s="4" t="s">
        <v>39</v>
      </c>
      <c r="B2" s="4" t="s">
        <v>48</v>
      </c>
      <c r="C2" s="4" t="s">
        <v>4</v>
      </c>
      <c r="D2" s="4" t="s">
        <v>5</v>
      </c>
      <c r="E2" s="4" t="s">
        <v>6</v>
      </c>
      <c r="F2" s="4" t="s">
        <v>7</v>
      </c>
      <c r="G2" s="4" t="s">
        <v>8</v>
      </c>
      <c r="H2" s="18" t="s">
        <v>49</v>
      </c>
    </row>
    <row r="3" spans="1:16">
      <c r="A3" s="5" t="s">
        <v>23</v>
      </c>
      <c r="B3" s="10">
        <v>42248</v>
      </c>
      <c r="C3" s="4">
        <v>23</v>
      </c>
      <c r="D3" s="4">
        <v>17</v>
      </c>
      <c r="E3" s="4">
        <v>2</v>
      </c>
      <c r="F3" s="4">
        <v>9</v>
      </c>
      <c r="G3" s="4">
        <v>36</v>
      </c>
      <c r="H3" s="4">
        <f>SUM(C3:G3)</f>
        <v>87</v>
      </c>
    </row>
    <row r="4" spans="1:16">
      <c r="A4" s="5" t="s">
        <v>24</v>
      </c>
      <c r="B4" s="10">
        <v>42248</v>
      </c>
      <c r="C4" s="4">
        <v>4</v>
      </c>
      <c r="D4" s="4">
        <v>14</v>
      </c>
      <c r="E4" s="4">
        <v>30</v>
      </c>
      <c r="F4" s="4">
        <v>29</v>
      </c>
      <c r="G4" s="4">
        <v>13</v>
      </c>
      <c r="H4" s="4">
        <f t="shared" ref="H4:H67" si="0">SUM(C4:G4)</f>
        <v>90</v>
      </c>
    </row>
    <row r="5" spans="1:16">
      <c r="A5" s="5" t="s">
        <v>25</v>
      </c>
      <c r="B5" s="10">
        <v>42248</v>
      </c>
      <c r="C5" s="4">
        <v>38</v>
      </c>
      <c r="D5" s="4">
        <v>1</v>
      </c>
      <c r="E5" s="4">
        <v>5</v>
      </c>
      <c r="F5" s="4">
        <v>0</v>
      </c>
      <c r="G5" s="4">
        <v>23</v>
      </c>
      <c r="H5" s="4">
        <f t="shared" si="0"/>
        <v>67</v>
      </c>
    </row>
    <row r="6" spans="1:16">
      <c r="A6" s="5" t="s">
        <v>26</v>
      </c>
      <c r="B6" s="10">
        <v>42248</v>
      </c>
      <c r="C6" s="4">
        <v>9</v>
      </c>
      <c r="D6" s="4">
        <v>37</v>
      </c>
      <c r="E6" s="4">
        <v>35</v>
      </c>
      <c r="F6" s="4">
        <v>12</v>
      </c>
      <c r="G6" s="4">
        <v>21</v>
      </c>
      <c r="H6" s="4">
        <f t="shared" si="0"/>
        <v>114</v>
      </c>
    </row>
    <row r="7" spans="1:16">
      <c r="A7" s="5" t="s">
        <v>27</v>
      </c>
      <c r="B7" s="10">
        <v>42248</v>
      </c>
      <c r="C7" s="4">
        <v>32</v>
      </c>
      <c r="D7" s="4">
        <v>16</v>
      </c>
      <c r="E7" s="4">
        <v>10</v>
      </c>
      <c r="F7" s="4">
        <v>26</v>
      </c>
      <c r="G7" s="4">
        <v>12</v>
      </c>
      <c r="H7" s="4">
        <f t="shared" si="0"/>
        <v>96</v>
      </c>
    </row>
    <row r="8" spans="1:16">
      <c r="A8" s="5" t="s">
        <v>28</v>
      </c>
      <c r="B8" s="10">
        <v>42248</v>
      </c>
      <c r="C8" s="4">
        <v>25</v>
      </c>
      <c r="D8" s="4">
        <v>36</v>
      </c>
      <c r="E8" s="4">
        <v>12</v>
      </c>
      <c r="F8" s="4">
        <v>5</v>
      </c>
      <c r="G8" s="4">
        <v>11</v>
      </c>
      <c r="H8" s="4">
        <f t="shared" si="0"/>
        <v>89</v>
      </c>
    </row>
    <row r="9" spans="1:16">
      <c r="A9" s="5" t="s">
        <v>29</v>
      </c>
      <c r="B9" s="10">
        <v>42248</v>
      </c>
      <c r="C9" s="4">
        <v>2</v>
      </c>
      <c r="D9" s="4">
        <v>8</v>
      </c>
      <c r="E9" s="4">
        <v>32</v>
      </c>
      <c r="F9" s="4">
        <v>12</v>
      </c>
      <c r="G9" s="4">
        <v>10</v>
      </c>
      <c r="H9" s="4">
        <f t="shared" si="0"/>
        <v>64</v>
      </c>
    </row>
    <row r="10" spans="1:16">
      <c r="A10" s="5" t="s">
        <v>30</v>
      </c>
      <c r="B10" s="10">
        <v>42248</v>
      </c>
      <c r="C10" s="4">
        <v>15</v>
      </c>
      <c r="D10" s="4">
        <v>21</v>
      </c>
      <c r="E10" s="4">
        <v>22</v>
      </c>
      <c r="F10" s="4">
        <v>9</v>
      </c>
      <c r="G10" s="4">
        <v>33</v>
      </c>
      <c r="H10" s="4">
        <f t="shared" si="0"/>
        <v>100</v>
      </c>
    </row>
    <row r="11" spans="1:16">
      <c r="A11" s="5" t="s">
        <v>31</v>
      </c>
      <c r="B11" s="10">
        <v>42248</v>
      </c>
      <c r="C11" s="4">
        <v>14</v>
      </c>
      <c r="D11" s="4">
        <v>9</v>
      </c>
      <c r="E11" s="4">
        <v>7</v>
      </c>
      <c r="F11" s="4">
        <v>27</v>
      </c>
      <c r="G11" s="4">
        <v>2</v>
      </c>
      <c r="H11" s="4">
        <f t="shared" si="0"/>
        <v>59</v>
      </c>
    </row>
    <row r="12" spans="1:16">
      <c r="A12" s="5" t="s">
        <v>33</v>
      </c>
      <c r="B12" s="10">
        <v>42248</v>
      </c>
      <c r="C12" s="4">
        <v>22</v>
      </c>
      <c r="D12" s="4">
        <v>9</v>
      </c>
      <c r="E12" s="4">
        <v>2</v>
      </c>
      <c r="F12" s="4">
        <v>2</v>
      </c>
      <c r="G12" s="4">
        <v>3</v>
      </c>
      <c r="H12" s="4">
        <f t="shared" si="0"/>
        <v>38</v>
      </c>
    </row>
    <row r="13" spans="1:16">
      <c r="A13" s="5" t="s">
        <v>34</v>
      </c>
      <c r="B13" s="10">
        <v>42248</v>
      </c>
      <c r="C13" s="4">
        <v>9</v>
      </c>
      <c r="D13" s="4">
        <v>25</v>
      </c>
      <c r="E13" s="4">
        <v>10</v>
      </c>
      <c r="F13" s="4">
        <v>37</v>
      </c>
      <c r="G13" s="4">
        <v>28</v>
      </c>
      <c r="H13" s="4">
        <f t="shared" si="0"/>
        <v>109</v>
      </c>
    </row>
    <row r="14" spans="1:16">
      <c r="A14" s="5" t="s">
        <v>35</v>
      </c>
      <c r="B14" s="10">
        <v>42248</v>
      </c>
      <c r="C14" s="4">
        <v>15</v>
      </c>
      <c r="D14" s="4">
        <v>13</v>
      </c>
      <c r="E14" s="4">
        <v>36</v>
      </c>
      <c r="F14" s="4">
        <v>16</v>
      </c>
      <c r="G14" s="4">
        <v>37</v>
      </c>
      <c r="H14" s="4">
        <f t="shared" si="0"/>
        <v>117</v>
      </c>
    </row>
    <row r="15" spans="1:16">
      <c r="A15" s="5" t="s">
        <v>36</v>
      </c>
      <c r="B15" s="10">
        <v>42248</v>
      </c>
      <c r="C15" s="4">
        <v>32</v>
      </c>
      <c r="D15" s="4">
        <v>21</v>
      </c>
      <c r="E15" s="4">
        <v>17</v>
      </c>
      <c r="F15" s="4">
        <v>22</v>
      </c>
      <c r="G15" s="4">
        <v>33</v>
      </c>
      <c r="H15" s="4">
        <f t="shared" si="0"/>
        <v>125</v>
      </c>
    </row>
    <row r="16" spans="1:16">
      <c r="A16" s="5" t="s">
        <v>32</v>
      </c>
      <c r="B16" s="10">
        <v>42248</v>
      </c>
      <c r="C16" s="4">
        <v>20</v>
      </c>
      <c r="D16" s="4">
        <v>4</v>
      </c>
      <c r="E16" s="4">
        <v>13</v>
      </c>
      <c r="F16" s="4">
        <v>15</v>
      </c>
      <c r="G16" s="4">
        <v>38</v>
      </c>
      <c r="H16" s="4">
        <f t="shared" si="0"/>
        <v>90</v>
      </c>
    </row>
    <row r="17" spans="1:8">
      <c r="A17" s="5" t="s">
        <v>37</v>
      </c>
      <c r="B17" s="10">
        <v>42248</v>
      </c>
      <c r="C17" s="4">
        <v>25</v>
      </c>
      <c r="D17" s="4">
        <v>37</v>
      </c>
      <c r="E17" s="4">
        <v>38</v>
      </c>
      <c r="F17" s="4">
        <v>35</v>
      </c>
      <c r="G17" s="4">
        <v>13</v>
      </c>
      <c r="H17" s="4">
        <f t="shared" si="0"/>
        <v>148</v>
      </c>
    </row>
    <row r="18" spans="1:8">
      <c r="A18" s="5" t="s">
        <v>23</v>
      </c>
      <c r="B18" s="10">
        <v>42217</v>
      </c>
      <c r="C18" s="4">
        <v>11</v>
      </c>
      <c r="D18" s="4">
        <v>15</v>
      </c>
      <c r="E18" s="4">
        <v>6</v>
      </c>
      <c r="F18" s="4">
        <v>12</v>
      </c>
      <c r="G18" s="4">
        <v>35</v>
      </c>
      <c r="H18" s="4">
        <f t="shared" si="0"/>
        <v>79</v>
      </c>
    </row>
    <row r="19" spans="1:8">
      <c r="A19" s="5" t="s">
        <v>24</v>
      </c>
      <c r="B19" s="10">
        <v>42217</v>
      </c>
      <c r="C19" s="4">
        <v>3</v>
      </c>
      <c r="D19" s="4">
        <v>29</v>
      </c>
      <c r="E19" s="4">
        <v>4</v>
      </c>
      <c r="F19" s="4">
        <v>39</v>
      </c>
      <c r="G19" s="4">
        <v>12</v>
      </c>
      <c r="H19" s="4">
        <f t="shared" si="0"/>
        <v>87</v>
      </c>
    </row>
    <row r="20" spans="1:8">
      <c r="A20" s="5" t="s">
        <v>25</v>
      </c>
      <c r="B20" s="10">
        <v>42217</v>
      </c>
      <c r="C20" s="4">
        <v>9</v>
      </c>
      <c r="D20" s="4">
        <v>29</v>
      </c>
      <c r="E20" s="4">
        <v>35</v>
      </c>
      <c r="F20" s="4">
        <v>34</v>
      </c>
      <c r="G20" s="4">
        <v>6</v>
      </c>
      <c r="H20" s="4">
        <f t="shared" si="0"/>
        <v>113</v>
      </c>
    </row>
    <row r="21" spans="1:8">
      <c r="A21" s="5" t="s">
        <v>26</v>
      </c>
      <c r="B21" s="10">
        <v>42217</v>
      </c>
      <c r="C21" s="4">
        <v>27</v>
      </c>
      <c r="D21" s="4">
        <v>10</v>
      </c>
      <c r="E21" s="4">
        <v>28</v>
      </c>
      <c r="F21" s="4">
        <v>28</v>
      </c>
      <c r="G21" s="4">
        <v>27</v>
      </c>
      <c r="H21" s="4">
        <f t="shared" si="0"/>
        <v>120</v>
      </c>
    </row>
    <row r="22" spans="1:8">
      <c r="A22" s="5" t="s">
        <v>27</v>
      </c>
      <c r="B22" s="10">
        <v>42217</v>
      </c>
      <c r="C22" s="4">
        <v>26</v>
      </c>
      <c r="D22" s="4">
        <v>31</v>
      </c>
      <c r="E22" s="4">
        <v>37</v>
      </c>
      <c r="F22" s="4">
        <v>30</v>
      </c>
      <c r="G22" s="4">
        <v>36</v>
      </c>
      <c r="H22" s="4">
        <f t="shared" si="0"/>
        <v>160</v>
      </c>
    </row>
    <row r="23" spans="1:8">
      <c r="A23" s="5" t="s">
        <v>28</v>
      </c>
      <c r="B23" s="10">
        <v>42217</v>
      </c>
      <c r="C23" s="4">
        <v>17</v>
      </c>
      <c r="D23" s="4">
        <v>33</v>
      </c>
      <c r="E23" s="4">
        <v>12</v>
      </c>
      <c r="F23" s="4">
        <v>39</v>
      </c>
      <c r="G23" s="4">
        <v>5</v>
      </c>
      <c r="H23" s="4">
        <f t="shared" si="0"/>
        <v>106</v>
      </c>
    </row>
    <row r="24" spans="1:8">
      <c r="A24" s="5" t="s">
        <v>29</v>
      </c>
      <c r="B24" s="10">
        <v>42217</v>
      </c>
      <c r="C24" s="4">
        <v>27</v>
      </c>
      <c r="D24" s="4">
        <v>5</v>
      </c>
      <c r="E24" s="4">
        <v>1</v>
      </c>
      <c r="F24" s="4">
        <v>9</v>
      </c>
      <c r="G24" s="4">
        <v>18</v>
      </c>
      <c r="H24" s="4">
        <f t="shared" si="0"/>
        <v>60</v>
      </c>
    </row>
    <row r="25" spans="1:8">
      <c r="A25" s="5" t="s">
        <v>30</v>
      </c>
      <c r="B25" s="10">
        <v>42217</v>
      </c>
      <c r="C25" s="4">
        <v>13</v>
      </c>
      <c r="D25" s="4">
        <v>34</v>
      </c>
      <c r="E25" s="4">
        <v>11</v>
      </c>
      <c r="F25" s="4">
        <v>35</v>
      </c>
      <c r="G25" s="4">
        <v>6</v>
      </c>
      <c r="H25" s="4">
        <f t="shared" si="0"/>
        <v>99</v>
      </c>
    </row>
    <row r="26" spans="1:8">
      <c r="A26" s="5" t="s">
        <v>31</v>
      </c>
      <c r="B26" s="10">
        <v>42217</v>
      </c>
      <c r="C26" s="4">
        <v>35</v>
      </c>
      <c r="D26" s="4">
        <v>17</v>
      </c>
      <c r="E26" s="4">
        <v>8</v>
      </c>
      <c r="F26" s="4">
        <v>39</v>
      </c>
      <c r="G26" s="4">
        <v>0</v>
      </c>
      <c r="H26" s="4">
        <f t="shared" si="0"/>
        <v>99</v>
      </c>
    </row>
    <row r="27" spans="1:8">
      <c r="A27" s="5" t="s">
        <v>33</v>
      </c>
      <c r="B27" s="10">
        <v>42217</v>
      </c>
      <c r="C27" s="4">
        <v>38</v>
      </c>
      <c r="D27" s="4">
        <v>36</v>
      </c>
      <c r="E27" s="4">
        <v>12</v>
      </c>
      <c r="F27" s="4">
        <v>32</v>
      </c>
      <c r="G27" s="4">
        <v>13</v>
      </c>
      <c r="H27" s="4">
        <f t="shared" si="0"/>
        <v>131</v>
      </c>
    </row>
    <row r="28" spans="1:8">
      <c r="A28" s="5" t="s">
        <v>34</v>
      </c>
      <c r="B28" s="10">
        <v>42217</v>
      </c>
      <c r="C28" s="4">
        <v>14</v>
      </c>
      <c r="D28" s="4">
        <v>20</v>
      </c>
      <c r="E28" s="4">
        <v>10</v>
      </c>
      <c r="F28" s="4">
        <v>8</v>
      </c>
      <c r="G28" s="4">
        <v>16</v>
      </c>
      <c r="H28" s="4">
        <f t="shared" si="0"/>
        <v>68</v>
      </c>
    </row>
    <row r="29" spans="1:8">
      <c r="A29" s="5" t="s">
        <v>35</v>
      </c>
      <c r="B29" s="10">
        <v>42217</v>
      </c>
      <c r="C29" s="4">
        <v>8</v>
      </c>
      <c r="D29" s="4">
        <v>1</v>
      </c>
      <c r="E29" s="4">
        <v>35</v>
      </c>
      <c r="F29" s="4">
        <v>0</v>
      </c>
      <c r="G29" s="4">
        <v>15</v>
      </c>
      <c r="H29" s="4">
        <f t="shared" si="0"/>
        <v>59</v>
      </c>
    </row>
    <row r="30" spans="1:8">
      <c r="A30" s="5" t="s">
        <v>36</v>
      </c>
      <c r="B30" s="10">
        <v>42217</v>
      </c>
      <c r="C30" s="4">
        <v>7</v>
      </c>
      <c r="D30" s="4">
        <v>12</v>
      </c>
      <c r="E30" s="4">
        <v>22</v>
      </c>
      <c r="F30" s="4">
        <v>24</v>
      </c>
      <c r="G30" s="4">
        <v>20</v>
      </c>
      <c r="H30" s="4">
        <f t="shared" si="0"/>
        <v>85</v>
      </c>
    </row>
    <row r="31" spans="1:8">
      <c r="A31" s="5" t="s">
        <v>32</v>
      </c>
      <c r="B31" s="10">
        <v>42217</v>
      </c>
      <c r="C31" s="4">
        <v>28</v>
      </c>
      <c r="D31" s="4">
        <v>14</v>
      </c>
      <c r="E31" s="4">
        <v>20</v>
      </c>
      <c r="F31" s="4">
        <v>1</v>
      </c>
      <c r="G31" s="4">
        <v>33</v>
      </c>
      <c r="H31" s="4">
        <f t="shared" si="0"/>
        <v>96</v>
      </c>
    </row>
    <row r="32" spans="1:8">
      <c r="A32" s="5" t="s">
        <v>37</v>
      </c>
      <c r="B32" s="10">
        <v>42217</v>
      </c>
      <c r="C32" s="4">
        <v>18</v>
      </c>
      <c r="D32" s="4">
        <v>3</v>
      </c>
      <c r="E32" s="4">
        <v>29</v>
      </c>
      <c r="F32" s="4">
        <v>32</v>
      </c>
      <c r="G32" s="4">
        <v>34</v>
      </c>
      <c r="H32" s="4">
        <f t="shared" si="0"/>
        <v>116</v>
      </c>
    </row>
    <row r="33" spans="1:8">
      <c r="A33" s="5" t="s">
        <v>23</v>
      </c>
      <c r="B33" s="10">
        <v>42186</v>
      </c>
      <c r="C33" s="4">
        <v>0</v>
      </c>
      <c r="D33" s="4">
        <v>36</v>
      </c>
      <c r="E33" s="4">
        <v>10</v>
      </c>
      <c r="F33" s="4">
        <v>28</v>
      </c>
      <c r="G33" s="4">
        <v>26</v>
      </c>
      <c r="H33" s="4">
        <f t="shared" si="0"/>
        <v>100</v>
      </c>
    </row>
    <row r="34" spans="1:8">
      <c r="A34" s="5" t="s">
        <v>24</v>
      </c>
      <c r="B34" s="10">
        <v>42186</v>
      </c>
      <c r="C34" s="4">
        <v>28</v>
      </c>
      <c r="D34" s="4">
        <v>28</v>
      </c>
      <c r="E34" s="4">
        <v>16</v>
      </c>
      <c r="F34" s="4">
        <v>13</v>
      </c>
      <c r="G34" s="4">
        <v>11</v>
      </c>
      <c r="H34" s="4">
        <f t="shared" si="0"/>
        <v>96</v>
      </c>
    </row>
    <row r="35" spans="1:8">
      <c r="A35" s="5" t="s">
        <v>25</v>
      </c>
      <c r="B35" s="10">
        <v>42186</v>
      </c>
      <c r="C35" s="4">
        <v>4</v>
      </c>
      <c r="D35" s="4">
        <v>17</v>
      </c>
      <c r="E35" s="4">
        <v>26</v>
      </c>
      <c r="F35" s="4">
        <v>6</v>
      </c>
      <c r="G35" s="4">
        <v>20</v>
      </c>
      <c r="H35" s="4">
        <f t="shared" si="0"/>
        <v>73</v>
      </c>
    </row>
    <row r="36" spans="1:8">
      <c r="A36" s="5" t="s">
        <v>26</v>
      </c>
      <c r="B36" s="10">
        <v>42186</v>
      </c>
      <c r="C36" s="4">
        <v>1</v>
      </c>
      <c r="D36" s="4">
        <v>29</v>
      </c>
      <c r="E36" s="4">
        <v>22</v>
      </c>
      <c r="F36" s="4">
        <v>11</v>
      </c>
      <c r="G36" s="4">
        <v>21</v>
      </c>
      <c r="H36" s="4">
        <f t="shared" si="0"/>
        <v>84</v>
      </c>
    </row>
    <row r="37" spans="1:8">
      <c r="A37" s="5" t="s">
        <v>27</v>
      </c>
      <c r="B37" s="10">
        <v>42186</v>
      </c>
      <c r="C37" s="4">
        <v>32</v>
      </c>
      <c r="D37" s="4">
        <v>13</v>
      </c>
      <c r="E37" s="4">
        <v>39</v>
      </c>
      <c r="F37" s="4">
        <v>31</v>
      </c>
      <c r="G37" s="4">
        <v>36</v>
      </c>
      <c r="H37" s="4">
        <f t="shared" si="0"/>
        <v>151</v>
      </c>
    </row>
    <row r="38" spans="1:8">
      <c r="A38" s="5" t="s">
        <v>28</v>
      </c>
      <c r="B38" s="10">
        <v>42186</v>
      </c>
      <c r="C38" s="4">
        <v>36</v>
      </c>
      <c r="D38" s="4">
        <v>20</v>
      </c>
      <c r="E38" s="4">
        <v>34</v>
      </c>
      <c r="F38" s="4">
        <v>10</v>
      </c>
      <c r="G38" s="4">
        <v>21</v>
      </c>
      <c r="H38" s="4">
        <f t="shared" si="0"/>
        <v>121</v>
      </c>
    </row>
    <row r="39" spans="1:8">
      <c r="A39" s="5" t="s">
        <v>29</v>
      </c>
      <c r="B39" s="10">
        <v>42186</v>
      </c>
      <c r="C39" s="4">
        <v>34</v>
      </c>
      <c r="D39" s="4">
        <v>37</v>
      </c>
      <c r="E39" s="4">
        <v>2</v>
      </c>
      <c r="F39" s="4">
        <v>7</v>
      </c>
      <c r="G39" s="4">
        <v>16</v>
      </c>
      <c r="H39" s="4">
        <f t="shared" si="0"/>
        <v>96</v>
      </c>
    </row>
    <row r="40" spans="1:8">
      <c r="A40" s="5" t="s">
        <v>30</v>
      </c>
      <c r="B40" s="10">
        <v>42186</v>
      </c>
      <c r="C40" s="4">
        <v>1</v>
      </c>
      <c r="D40" s="4">
        <v>32</v>
      </c>
      <c r="E40" s="4">
        <v>27</v>
      </c>
      <c r="F40" s="4">
        <v>31</v>
      </c>
      <c r="G40" s="4">
        <v>32</v>
      </c>
      <c r="H40" s="4">
        <f t="shared" si="0"/>
        <v>123</v>
      </c>
    </row>
    <row r="41" spans="1:8">
      <c r="A41" s="5" t="s">
        <v>31</v>
      </c>
      <c r="B41" s="10">
        <v>42186</v>
      </c>
      <c r="C41" s="4">
        <v>16</v>
      </c>
      <c r="D41" s="4">
        <v>23</v>
      </c>
      <c r="E41" s="4">
        <v>30</v>
      </c>
      <c r="F41" s="4">
        <v>3</v>
      </c>
      <c r="G41" s="4">
        <v>23</v>
      </c>
      <c r="H41" s="4">
        <f t="shared" si="0"/>
        <v>95</v>
      </c>
    </row>
    <row r="42" spans="1:8">
      <c r="A42" s="5" t="s">
        <v>33</v>
      </c>
      <c r="B42" s="10">
        <v>42186</v>
      </c>
      <c r="C42" s="4">
        <v>17</v>
      </c>
      <c r="D42" s="4">
        <v>29</v>
      </c>
      <c r="E42" s="4">
        <v>33</v>
      </c>
      <c r="F42" s="4">
        <v>4</v>
      </c>
      <c r="G42" s="4">
        <v>29</v>
      </c>
      <c r="H42" s="4">
        <f t="shared" si="0"/>
        <v>112</v>
      </c>
    </row>
    <row r="43" spans="1:8">
      <c r="A43" s="5" t="s">
        <v>34</v>
      </c>
      <c r="B43" s="10">
        <v>42186</v>
      </c>
      <c r="C43" s="4">
        <v>25</v>
      </c>
      <c r="D43" s="4">
        <v>25</v>
      </c>
      <c r="E43" s="4">
        <v>35</v>
      </c>
      <c r="F43" s="4">
        <v>32</v>
      </c>
      <c r="G43" s="4">
        <v>23</v>
      </c>
      <c r="H43" s="4">
        <f t="shared" si="0"/>
        <v>140</v>
      </c>
    </row>
    <row r="44" spans="1:8">
      <c r="A44" s="5" t="s">
        <v>35</v>
      </c>
      <c r="B44" s="10">
        <v>42186</v>
      </c>
      <c r="C44" s="4">
        <v>35</v>
      </c>
      <c r="D44" s="4">
        <v>6</v>
      </c>
      <c r="E44" s="4">
        <v>19</v>
      </c>
      <c r="F44" s="4">
        <v>28</v>
      </c>
      <c r="G44" s="4">
        <v>17</v>
      </c>
      <c r="H44" s="4">
        <f t="shared" si="0"/>
        <v>105</v>
      </c>
    </row>
    <row r="45" spans="1:8">
      <c r="A45" s="5" t="s">
        <v>36</v>
      </c>
      <c r="B45" s="10">
        <v>42186</v>
      </c>
      <c r="C45" s="4">
        <v>39</v>
      </c>
      <c r="D45" s="4">
        <v>37</v>
      </c>
      <c r="E45" s="4">
        <v>12</v>
      </c>
      <c r="F45" s="4">
        <v>31</v>
      </c>
      <c r="G45" s="4">
        <v>6</v>
      </c>
      <c r="H45" s="4">
        <f t="shared" si="0"/>
        <v>125</v>
      </c>
    </row>
    <row r="46" spans="1:8">
      <c r="A46" s="5" t="s">
        <v>32</v>
      </c>
      <c r="B46" s="10">
        <v>42186</v>
      </c>
      <c r="C46" s="4">
        <v>15</v>
      </c>
      <c r="D46" s="4">
        <v>3</v>
      </c>
      <c r="E46" s="4">
        <v>19</v>
      </c>
      <c r="F46" s="4">
        <v>18</v>
      </c>
      <c r="G46" s="4">
        <v>37</v>
      </c>
      <c r="H46" s="4">
        <f t="shared" si="0"/>
        <v>92</v>
      </c>
    </row>
    <row r="47" spans="1:8">
      <c r="A47" s="5" t="s">
        <v>37</v>
      </c>
      <c r="B47" s="10">
        <v>42186</v>
      </c>
      <c r="C47" s="4">
        <v>2</v>
      </c>
      <c r="D47" s="4">
        <v>15</v>
      </c>
      <c r="E47" s="4">
        <v>11</v>
      </c>
      <c r="F47" s="4">
        <v>17</v>
      </c>
      <c r="G47" s="4">
        <v>1</v>
      </c>
      <c r="H47" s="4">
        <f t="shared" si="0"/>
        <v>46</v>
      </c>
    </row>
    <row r="48" spans="1:8">
      <c r="A48" s="5" t="s">
        <v>23</v>
      </c>
      <c r="B48" s="10">
        <v>42156</v>
      </c>
      <c r="C48" s="4">
        <v>20</v>
      </c>
      <c r="D48" s="4">
        <v>19</v>
      </c>
      <c r="E48" s="4">
        <v>5</v>
      </c>
      <c r="F48" s="4">
        <v>37</v>
      </c>
      <c r="G48" s="4">
        <v>8</v>
      </c>
      <c r="H48" s="4">
        <f t="shared" si="0"/>
        <v>89</v>
      </c>
    </row>
    <row r="49" spans="1:8">
      <c r="A49" s="5" t="s">
        <v>24</v>
      </c>
      <c r="B49" s="10">
        <v>42156</v>
      </c>
      <c r="C49" s="4">
        <v>19</v>
      </c>
      <c r="D49" s="4">
        <v>12</v>
      </c>
      <c r="E49" s="4">
        <v>26</v>
      </c>
      <c r="F49" s="4">
        <v>9</v>
      </c>
      <c r="G49" s="4">
        <v>0</v>
      </c>
      <c r="H49" s="4">
        <f t="shared" si="0"/>
        <v>66</v>
      </c>
    </row>
    <row r="50" spans="1:8">
      <c r="A50" s="5" t="s">
        <v>25</v>
      </c>
      <c r="B50" s="10">
        <v>42156</v>
      </c>
      <c r="C50" s="4">
        <v>30</v>
      </c>
      <c r="D50" s="4">
        <v>22</v>
      </c>
      <c r="E50" s="4">
        <v>28</v>
      </c>
      <c r="F50" s="4">
        <v>9</v>
      </c>
      <c r="G50" s="4">
        <v>10</v>
      </c>
      <c r="H50" s="4">
        <f t="shared" si="0"/>
        <v>99</v>
      </c>
    </row>
    <row r="51" spans="1:8">
      <c r="A51" s="5" t="s">
        <v>26</v>
      </c>
      <c r="B51" s="10">
        <v>42156</v>
      </c>
      <c r="C51" s="4">
        <v>10</v>
      </c>
      <c r="D51" s="4">
        <v>16</v>
      </c>
      <c r="E51" s="4">
        <v>16</v>
      </c>
      <c r="F51" s="4">
        <v>11</v>
      </c>
      <c r="G51" s="4">
        <v>35</v>
      </c>
      <c r="H51" s="4">
        <f t="shared" si="0"/>
        <v>88</v>
      </c>
    </row>
    <row r="52" spans="1:8">
      <c r="A52" s="5" t="s">
        <v>27</v>
      </c>
      <c r="B52" s="10">
        <v>42156</v>
      </c>
      <c r="C52" s="4">
        <v>30</v>
      </c>
      <c r="D52" s="4">
        <v>22</v>
      </c>
      <c r="E52" s="4">
        <v>3</v>
      </c>
      <c r="F52" s="4">
        <v>20</v>
      </c>
      <c r="G52" s="4">
        <v>11</v>
      </c>
      <c r="H52" s="4">
        <f t="shared" si="0"/>
        <v>86</v>
      </c>
    </row>
    <row r="53" spans="1:8">
      <c r="A53" s="5" t="s">
        <v>28</v>
      </c>
      <c r="B53" s="10">
        <v>42156</v>
      </c>
      <c r="C53" s="4">
        <v>35</v>
      </c>
      <c r="D53" s="4">
        <v>23</v>
      </c>
      <c r="E53" s="4">
        <v>2</v>
      </c>
      <c r="F53" s="4">
        <v>12</v>
      </c>
      <c r="G53" s="4">
        <v>36</v>
      </c>
      <c r="H53" s="4">
        <f t="shared" si="0"/>
        <v>108</v>
      </c>
    </row>
    <row r="54" spans="1:8">
      <c r="A54" s="5" t="s">
        <v>29</v>
      </c>
      <c r="B54" s="10">
        <v>42156</v>
      </c>
      <c r="C54" s="4">
        <v>3</v>
      </c>
      <c r="D54" s="4">
        <v>32</v>
      </c>
      <c r="E54" s="4">
        <v>4</v>
      </c>
      <c r="F54" s="4">
        <v>7</v>
      </c>
      <c r="G54" s="4">
        <v>26</v>
      </c>
      <c r="H54" s="4">
        <f t="shared" si="0"/>
        <v>72</v>
      </c>
    </row>
    <row r="55" spans="1:8">
      <c r="A55" s="5" t="s">
        <v>30</v>
      </c>
      <c r="B55" s="10">
        <v>42156</v>
      </c>
      <c r="C55" s="4">
        <v>15</v>
      </c>
      <c r="D55" s="4">
        <v>15</v>
      </c>
      <c r="E55" s="4">
        <v>38</v>
      </c>
      <c r="F55" s="4">
        <v>3</v>
      </c>
      <c r="G55" s="4">
        <v>38</v>
      </c>
      <c r="H55" s="4">
        <f t="shared" si="0"/>
        <v>109</v>
      </c>
    </row>
    <row r="56" spans="1:8">
      <c r="A56" s="5" t="s">
        <v>31</v>
      </c>
      <c r="B56" s="10">
        <v>42156</v>
      </c>
      <c r="C56" s="4">
        <v>9</v>
      </c>
      <c r="D56" s="4">
        <v>34</v>
      </c>
      <c r="E56" s="4">
        <v>5</v>
      </c>
      <c r="F56" s="4">
        <v>37</v>
      </c>
      <c r="G56" s="4">
        <v>21</v>
      </c>
      <c r="H56" s="4">
        <f t="shared" si="0"/>
        <v>106</v>
      </c>
    </row>
    <row r="57" spans="1:8">
      <c r="A57" s="5" t="s">
        <v>33</v>
      </c>
      <c r="B57" s="10">
        <v>42156</v>
      </c>
      <c r="C57" s="4">
        <v>7</v>
      </c>
      <c r="D57" s="4">
        <v>28</v>
      </c>
      <c r="E57" s="4">
        <v>9</v>
      </c>
      <c r="F57" s="4">
        <v>13</v>
      </c>
      <c r="G57" s="4">
        <v>10</v>
      </c>
      <c r="H57" s="4">
        <f t="shared" si="0"/>
        <v>67</v>
      </c>
    </row>
    <row r="58" spans="1:8">
      <c r="A58" s="5" t="s">
        <v>34</v>
      </c>
      <c r="B58" s="10">
        <v>42156</v>
      </c>
      <c r="C58" s="4">
        <v>14</v>
      </c>
      <c r="D58" s="4">
        <v>15</v>
      </c>
      <c r="E58" s="4">
        <v>14</v>
      </c>
      <c r="F58" s="4">
        <v>20</v>
      </c>
      <c r="G58" s="4">
        <v>13</v>
      </c>
      <c r="H58" s="4">
        <f t="shared" si="0"/>
        <v>76</v>
      </c>
    </row>
    <row r="59" spans="1:8">
      <c r="A59" s="5" t="s">
        <v>35</v>
      </c>
      <c r="B59" s="10">
        <v>42156</v>
      </c>
      <c r="C59" s="4">
        <v>30</v>
      </c>
      <c r="D59" s="4">
        <v>13</v>
      </c>
      <c r="E59" s="4">
        <v>7</v>
      </c>
      <c r="F59" s="4">
        <v>34</v>
      </c>
      <c r="G59" s="4">
        <v>31</v>
      </c>
      <c r="H59" s="4">
        <f t="shared" si="0"/>
        <v>115</v>
      </c>
    </row>
    <row r="60" spans="1:8">
      <c r="A60" s="5" t="s">
        <v>36</v>
      </c>
      <c r="B60" s="10">
        <v>42156</v>
      </c>
      <c r="C60" s="4">
        <v>25</v>
      </c>
      <c r="D60" s="4">
        <v>23</v>
      </c>
      <c r="E60" s="4">
        <v>20</v>
      </c>
      <c r="F60" s="4">
        <v>12</v>
      </c>
      <c r="G60" s="4">
        <v>18</v>
      </c>
      <c r="H60" s="4">
        <f t="shared" si="0"/>
        <v>98</v>
      </c>
    </row>
    <row r="61" spans="1:8">
      <c r="A61" s="5" t="s">
        <v>32</v>
      </c>
      <c r="B61" s="10">
        <v>42156</v>
      </c>
      <c r="C61" s="4">
        <v>6</v>
      </c>
      <c r="D61" s="4">
        <v>32</v>
      </c>
      <c r="E61" s="4">
        <v>24</v>
      </c>
      <c r="F61" s="4">
        <v>24</v>
      </c>
      <c r="G61" s="4">
        <v>14</v>
      </c>
      <c r="H61" s="4">
        <f t="shared" si="0"/>
        <v>100</v>
      </c>
    </row>
    <row r="62" spans="1:8">
      <c r="A62" s="5" t="s">
        <v>37</v>
      </c>
      <c r="B62" s="10">
        <v>42156</v>
      </c>
      <c r="C62" s="4">
        <v>7</v>
      </c>
      <c r="D62" s="4">
        <v>0</v>
      </c>
      <c r="E62" s="4">
        <v>36</v>
      </c>
      <c r="F62" s="4">
        <v>28</v>
      </c>
      <c r="G62" s="4">
        <v>25</v>
      </c>
      <c r="H62" s="4">
        <f t="shared" si="0"/>
        <v>96</v>
      </c>
    </row>
    <row r="63" spans="1:8">
      <c r="A63" s="5" t="s">
        <v>23</v>
      </c>
      <c r="B63" s="10">
        <v>42125</v>
      </c>
      <c r="C63" s="4">
        <v>30</v>
      </c>
      <c r="D63" s="4">
        <v>29</v>
      </c>
      <c r="E63" s="4">
        <v>4</v>
      </c>
      <c r="F63" s="4">
        <v>6</v>
      </c>
      <c r="G63" s="4">
        <v>26</v>
      </c>
      <c r="H63" s="4">
        <f t="shared" si="0"/>
        <v>95</v>
      </c>
    </row>
    <row r="64" spans="1:8">
      <c r="A64" s="5" t="s">
        <v>24</v>
      </c>
      <c r="B64" s="10">
        <v>42125</v>
      </c>
      <c r="C64" s="4">
        <v>35</v>
      </c>
      <c r="D64" s="4">
        <v>14</v>
      </c>
      <c r="E64" s="4">
        <v>4</v>
      </c>
      <c r="F64" s="4">
        <v>14</v>
      </c>
      <c r="G64" s="4">
        <v>36</v>
      </c>
      <c r="H64" s="4">
        <f t="shared" si="0"/>
        <v>103</v>
      </c>
    </row>
    <row r="65" spans="1:8">
      <c r="A65" s="5" t="s">
        <v>25</v>
      </c>
      <c r="B65" s="10">
        <v>42125</v>
      </c>
      <c r="C65" s="4">
        <v>33</v>
      </c>
      <c r="D65" s="4">
        <v>6</v>
      </c>
      <c r="E65" s="4">
        <v>13</v>
      </c>
      <c r="F65" s="4">
        <v>30</v>
      </c>
      <c r="G65" s="4">
        <v>9</v>
      </c>
      <c r="H65" s="4">
        <f t="shared" si="0"/>
        <v>91</v>
      </c>
    </row>
    <row r="66" spans="1:8">
      <c r="A66" s="5" t="s">
        <v>26</v>
      </c>
      <c r="B66" s="10">
        <v>42125</v>
      </c>
      <c r="C66" s="4">
        <v>36</v>
      </c>
      <c r="D66" s="4">
        <v>32</v>
      </c>
      <c r="E66" s="4">
        <v>38</v>
      </c>
      <c r="F66" s="4">
        <v>32</v>
      </c>
      <c r="G66" s="4">
        <v>15</v>
      </c>
      <c r="H66" s="4">
        <f t="shared" si="0"/>
        <v>153</v>
      </c>
    </row>
    <row r="67" spans="1:8">
      <c r="A67" s="5" t="s">
        <v>27</v>
      </c>
      <c r="B67" s="10">
        <v>42125</v>
      </c>
      <c r="C67" s="4">
        <v>3</v>
      </c>
      <c r="D67" s="4">
        <v>35</v>
      </c>
      <c r="E67" s="4">
        <v>10</v>
      </c>
      <c r="F67" s="4">
        <v>3</v>
      </c>
      <c r="G67" s="4">
        <v>6</v>
      </c>
      <c r="H67" s="4">
        <f t="shared" si="0"/>
        <v>57</v>
      </c>
    </row>
    <row r="68" spans="1:8">
      <c r="A68" s="5" t="s">
        <v>28</v>
      </c>
      <c r="B68" s="10">
        <v>42125</v>
      </c>
      <c r="C68" s="4">
        <v>0</v>
      </c>
      <c r="D68" s="4">
        <v>19</v>
      </c>
      <c r="E68" s="4">
        <v>32</v>
      </c>
      <c r="F68" s="4">
        <v>33</v>
      </c>
      <c r="G68" s="4">
        <v>19</v>
      </c>
      <c r="H68" s="4">
        <f t="shared" ref="H68:H131" si="1">SUM(C68:G68)</f>
        <v>103</v>
      </c>
    </row>
    <row r="69" spans="1:8">
      <c r="A69" s="5" t="s">
        <v>29</v>
      </c>
      <c r="B69" s="10">
        <v>42125</v>
      </c>
      <c r="C69" s="4">
        <v>6</v>
      </c>
      <c r="D69" s="4">
        <v>14</v>
      </c>
      <c r="E69" s="4">
        <v>29</v>
      </c>
      <c r="F69" s="4">
        <v>4</v>
      </c>
      <c r="G69" s="4">
        <v>9</v>
      </c>
      <c r="H69" s="4">
        <f t="shared" si="1"/>
        <v>62</v>
      </c>
    </row>
    <row r="70" spans="1:8">
      <c r="A70" s="5" t="s">
        <v>30</v>
      </c>
      <c r="B70" s="10">
        <v>42125</v>
      </c>
      <c r="C70" s="4">
        <v>31</v>
      </c>
      <c r="D70" s="4">
        <v>20</v>
      </c>
      <c r="E70" s="4">
        <v>26</v>
      </c>
      <c r="F70" s="4">
        <v>27</v>
      </c>
      <c r="G70" s="4">
        <v>21</v>
      </c>
      <c r="H70" s="4">
        <f t="shared" si="1"/>
        <v>125</v>
      </c>
    </row>
    <row r="71" spans="1:8">
      <c r="A71" s="5" t="s">
        <v>31</v>
      </c>
      <c r="B71" s="10">
        <v>42125</v>
      </c>
      <c r="C71" s="4">
        <v>33</v>
      </c>
      <c r="D71" s="4">
        <v>10</v>
      </c>
      <c r="E71" s="4">
        <v>21</v>
      </c>
      <c r="F71" s="4">
        <v>12</v>
      </c>
      <c r="G71" s="4">
        <v>39</v>
      </c>
      <c r="H71" s="4">
        <f t="shared" si="1"/>
        <v>115</v>
      </c>
    </row>
    <row r="72" spans="1:8">
      <c r="A72" s="5" t="s">
        <v>33</v>
      </c>
      <c r="B72" s="10">
        <v>42125</v>
      </c>
      <c r="C72" s="4">
        <v>21</v>
      </c>
      <c r="D72" s="4">
        <v>19</v>
      </c>
      <c r="E72" s="4">
        <v>26</v>
      </c>
      <c r="F72" s="4">
        <v>16</v>
      </c>
      <c r="G72" s="4">
        <v>0</v>
      </c>
      <c r="H72" s="4">
        <f t="shared" si="1"/>
        <v>82</v>
      </c>
    </row>
    <row r="73" spans="1:8">
      <c r="A73" s="5" t="s">
        <v>34</v>
      </c>
      <c r="B73" s="10">
        <v>42125</v>
      </c>
      <c r="C73" s="4">
        <v>24</v>
      </c>
      <c r="D73" s="4">
        <v>5</v>
      </c>
      <c r="E73" s="4">
        <v>17</v>
      </c>
      <c r="F73" s="4">
        <v>26</v>
      </c>
      <c r="G73" s="4">
        <v>2</v>
      </c>
      <c r="H73" s="4">
        <f t="shared" si="1"/>
        <v>74</v>
      </c>
    </row>
    <row r="74" spans="1:8">
      <c r="A74" s="5" t="s">
        <v>35</v>
      </c>
      <c r="B74" s="10">
        <v>42125</v>
      </c>
      <c r="C74" s="4">
        <v>5</v>
      </c>
      <c r="D74" s="4">
        <v>37</v>
      </c>
      <c r="E74" s="4">
        <v>16</v>
      </c>
      <c r="F74" s="4">
        <v>4</v>
      </c>
      <c r="G74" s="4">
        <v>7</v>
      </c>
      <c r="H74" s="4">
        <f t="shared" si="1"/>
        <v>69</v>
      </c>
    </row>
    <row r="75" spans="1:8">
      <c r="A75" s="5" t="s">
        <v>36</v>
      </c>
      <c r="B75" s="10">
        <v>42125</v>
      </c>
      <c r="C75" s="4">
        <v>39</v>
      </c>
      <c r="D75" s="4">
        <v>8</v>
      </c>
      <c r="E75" s="4">
        <v>31</v>
      </c>
      <c r="F75" s="4">
        <v>21</v>
      </c>
      <c r="G75" s="4">
        <v>19</v>
      </c>
      <c r="H75" s="4">
        <f t="shared" si="1"/>
        <v>118</v>
      </c>
    </row>
    <row r="76" spans="1:8">
      <c r="A76" s="5" t="s">
        <v>32</v>
      </c>
      <c r="B76" s="10">
        <v>42125</v>
      </c>
      <c r="C76" s="4">
        <v>21</v>
      </c>
      <c r="D76" s="4">
        <v>3</v>
      </c>
      <c r="E76" s="4">
        <v>22</v>
      </c>
      <c r="F76" s="4">
        <v>8</v>
      </c>
      <c r="G76" s="4">
        <v>16</v>
      </c>
      <c r="H76" s="4">
        <f t="shared" si="1"/>
        <v>70</v>
      </c>
    </row>
    <row r="77" spans="1:8">
      <c r="A77" s="5" t="s">
        <v>37</v>
      </c>
      <c r="B77" s="10">
        <v>42125</v>
      </c>
      <c r="C77" s="4">
        <v>37</v>
      </c>
      <c r="D77" s="4">
        <v>19</v>
      </c>
      <c r="E77" s="4">
        <v>27</v>
      </c>
      <c r="F77" s="4">
        <v>37</v>
      </c>
      <c r="G77" s="4">
        <v>35</v>
      </c>
      <c r="H77" s="4">
        <f t="shared" si="1"/>
        <v>155</v>
      </c>
    </row>
    <row r="78" spans="1:8">
      <c r="A78" s="5" t="s">
        <v>23</v>
      </c>
      <c r="B78" s="10">
        <v>42095</v>
      </c>
      <c r="C78" s="4">
        <v>23</v>
      </c>
      <c r="D78" s="4">
        <v>30</v>
      </c>
      <c r="E78" s="4">
        <v>22</v>
      </c>
      <c r="F78" s="4">
        <v>25</v>
      </c>
      <c r="G78" s="4">
        <v>16</v>
      </c>
      <c r="H78" s="4">
        <f t="shared" si="1"/>
        <v>116</v>
      </c>
    </row>
    <row r="79" spans="1:8">
      <c r="A79" s="5" t="s">
        <v>24</v>
      </c>
      <c r="B79" s="10">
        <v>42095</v>
      </c>
      <c r="C79" s="4">
        <v>31</v>
      </c>
      <c r="D79" s="4">
        <v>29</v>
      </c>
      <c r="E79" s="4">
        <v>29</v>
      </c>
      <c r="F79" s="4">
        <v>33</v>
      </c>
      <c r="G79" s="4">
        <v>22</v>
      </c>
      <c r="H79" s="4">
        <f t="shared" si="1"/>
        <v>144</v>
      </c>
    </row>
    <row r="80" spans="1:8">
      <c r="A80" s="5" t="s">
        <v>25</v>
      </c>
      <c r="B80" s="10">
        <v>42095</v>
      </c>
      <c r="C80" s="4">
        <v>24</v>
      </c>
      <c r="D80" s="4">
        <v>12</v>
      </c>
      <c r="E80" s="4">
        <v>17</v>
      </c>
      <c r="F80" s="4">
        <v>16</v>
      </c>
      <c r="G80" s="4">
        <v>21</v>
      </c>
      <c r="H80" s="4">
        <f t="shared" si="1"/>
        <v>90</v>
      </c>
    </row>
    <row r="81" spans="1:8">
      <c r="A81" s="5" t="s">
        <v>26</v>
      </c>
      <c r="B81" s="10">
        <v>42095</v>
      </c>
      <c r="C81" s="4">
        <v>27</v>
      </c>
      <c r="D81" s="4">
        <v>10</v>
      </c>
      <c r="E81" s="4">
        <v>7</v>
      </c>
      <c r="F81" s="4">
        <v>3</v>
      </c>
      <c r="G81" s="4">
        <v>3</v>
      </c>
      <c r="H81" s="4">
        <f t="shared" si="1"/>
        <v>50</v>
      </c>
    </row>
    <row r="82" spans="1:8">
      <c r="A82" s="5" t="s">
        <v>27</v>
      </c>
      <c r="B82" s="10">
        <v>42095</v>
      </c>
      <c r="C82" s="4">
        <v>23</v>
      </c>
      <c r="D82" s="4">
        <v>14</v>
      </c>
      <c r="E82" s="4">
        <v>39</v>
      </c>
      <c r="F82" s="4">
        <v>32</v>
      </c>
      <c r="G82" s="4">
        <v>35</v>
      </c>
      <c r="H82" s="4">
        <f t="shared" si="1"/>
        <v>143</v>
      </c>
    </row>
    <row r="83" spans="1:8">
      <c r="A83" s="5" t="s">
        <v>28</v>
      </c>
      <c r="B83" s="10">
        <v>42095</v>
      </c>
      <c r="C83" s="4">
        <v>5</v>
      </c>
      <c r="D83" s="4">
        <v>9</v>
      </c>
      <c r="E83" s="4">
        <v>22</v>
      </c>
      <c r="F83" s="4">
        <v>34</v>
      </c>
      <c r="G83" s="4">
        <v>12</v>
      </c>
      <c r="H83" s="4">
        <f t="shared" si="1"/>
        <v>82</v>
      </c>
    </row>
    <row r="84" spans="1:8">
      <c r="A84" s="5" t="s">
        <v>29</v>
      </c>
      <c r="B84" s="10">
        <v>42095</v>
      </c>
      <c r="C84" s="4">
        <v>2</v>
      </c>
      <c r="D84" s="4">
        <v>26</v>
      </c>
      <c r="E84" s="4">
        <v>23</v>
      </c>
      <c r="F84" s="4">
        <v>15</v>
      </c>
      <c r="G84" s="4">
        <v>15</v>
      </c>
      <c r="H84" s="4">
        <f t="shared" si="1"/>
        <v>81</v>
      </c>
    </row>
    <row r="85" spans="1:8">
      <c r="A85" s="5" t="s">
        <v>30</v>
      </c>
      <c r="B85" s="10">
        <v>42095</v>
      </c>
      <c r="C85" s="4">
        <v>18</v>
      </c>
      <c r="D85" s="4">
        <v>29</v>
      </c>
      <c r="E85" s="4">
        <v>37</v>
      </c>
      <c r="F85" s="4">
        <v>35</v>
      </c>
      <c r="G85" s="4">
        <v>26</v>
      </c>
      <c r="H85" s="4">
        <f t="shared" si="1"/>
        <v>145</v>
      </c>
    </row>
    <row r="86" spans="1:8">
      <c r="A86" s="5" t="s">
        <v>31</v>
      </c>
      <c r="B86" s="10">
        <v>42095</v>
      </c>
      <c r="C86" s="4">
        <v>38</v>
      </c>
      <c r="D86" s="4">
        <v>39</v>
      </c>
      <c r="E86" s="4">
        <v>38</v>
      </c>
      <c r="F86" s="4">
        <v>11</v>
      </c>
      <c r="G86" s="4">
        <v>3</v>
      </c>
      <c r="H86" s="4">
        <f t="shared" si="1"/>
        <v>129</v>
      </c>
    </row>
    <row r="87" spans="1:8">
      <c r="A87" s="5" t="s">
        <v>33</v>
      </c>
      <c r="B87" s="10">
        <v>42095</v>
      </c>
      <c r="C87" s="4">
        <v>32</v>
      </c>
      <c r="D87" s="4">
        <v>14</v>
      </c>
      <c r="E87" s="4">
        <v>14</v>
      </c>
      <c r="F87" s="4">
        <v>24</v>
      </c>
      <c r="G87" s="4">
        <v>31</v>
      </c>
      <c r="H87" s="4">
        <f t="shared" si="1"/>
        <v>115</v>
      </c>
    </row>
    <row r="88" spans="1:8">
      <c r="A88" s="5" t="s">
        <v>34</v>
      </c>
      <c r="B88" s="10">
        <v>42095</v>
      </c>
      <c r="C88" s="4">
        <v>4</v>
      </c>
      <c r="D88" s="4">
        <v>36</v>
      </c>
      <c r="E88" s="4">
        <v>31</v>
      </c>
      <c r="F88" s="4">
        <v>27</v>
      </c>
      <c r="G88" s="4">
        <v>31</v>
      </c>
      <c r="H88" s="4">
        <f t="shared" si="1"/>
        <v>129</v>
      </c>
    </row>
    <row r="89" spans="1:8">
      <c r="A89" s="5" t="s">
        <v>35</v>
      </c>
      <c r="B89" s="10">
        <v>42095</v>
      </c>
      <c r="C89" s="4">
        <v>4</v>
      </c>
      <c r="D89" s="4">
        <v>7</v>
      </c>
      <c r="E89" s="4">
        <v>30</v>
      </c>
      <c r="F89" s="4">
        <v>25</v>
      </c>
      <c r="G89" s="4">
        <v>37</v>
      </c>
      <c r="H89" s="4">
        <f t="shared" si="1"/>
        <v>103</v>
      </c>
    </row>
    <row r="90" spans="1:8">
      <c r="A90" s="5" t="s">
        <v>36</v>
      </c>
      <c r="B90" s="10">
        <v>42095</v>
      </c>
      <c r="C90" s="4">
        <v>11</v>
      </c>
      <c r="D90" s="4">
        <v>15</v>
      </c>
      <c r="E90" s="4">
        <v>31</v>
      </c>
      <c r="F90" s="4">
        <v>9</v>
      </c>
      <c r="G90" s="4">
        <v>27</v>
      </c>
      <c r="H90" s="4">
        <f t="shared" si="1"/>
        <v>93</v>
      </c>
    </row>
    <row r="91" spans="1:8">
      <c r="A91" s="5" t="s">
        <v>32</v>
      </c>
      <c r="B91" s="10">
        <v>42095</v>
      </c>
      <c r="C91" s="4">
        <v>0</v>
      </c>
      <c r="D91" s="4">
        <v>2</v>
      </c>
      <c r="E91" s="4">
        <v>37</v>
      </c>
      <c r="F91" s="4">
        <v>1</v>
      </c>
      <c r="G91" s="4">
        <v>30</v>
      </c>
      <c r="H91" s="4">
        <f t="shared" si="1"/>
        <v>70</v>
      </c>
    </row>
    <row r="92" spans="1:8">
      <c r="A92" s="5" t="s">
        <v>37</v>
      </c>
      <c r="B92" s="10">
        <v>42095</v>
      </c>
      <c r="C92" s="4">
        <v>37</v>
      </c>
      <c r="D92" s="4">
        <v>34</v>
      </c>
      <c r="E92" s="4">
        <v>18</v>
      </c>
      <c r="F92" s="4">
        <v>27</v>
      </c>
      <c r="G92" s="4">
        <v>31</v>
      </c>
      <c r="H92" s="4">
        <f t="shared" si="1"/>
        <v>147</v>
      </c>
    </row>
    <row r="93" spans="1:8">
      <c r="A93" s="5" t="s">
        <v>23</v>
      </c>
      <c r="B93" s="10">
        <v>42064</v>
      </c>
      <c r="C93" s="4">
        <v>11</v>
      </c>
      <c r="D93" s="4">
        <v>32</v>
      </c>
      <c r="E93" s="4">
        <v>16</v>
      </c>
      <c r="F93" s="4">
        <v>38</v>
      </c>
      <c r="G93" s="4">
        <v>29</v>
      </c>
      <c r="H93" s="4">
        <f t="shared" si="1"/>
        <v>126</v>
      </c>
    </row>
    <row r="94" spans="1:8">
      <c r="A94" s="5" t="s">
        <v>24</v>
      </c>
      <c r="B94" s="10">
        <v>42064</v>
      </c>
      <c r="C94" s="4">
        <v>12</v>
      </c>
      <c r="D94" s="4">
        <v>25</v>
      </c>
      <c r="E94" s="4">
        <v>10</v>
      </c>
      <c r="F94" s="4">
        <v>29</v>
      </c>
      <c r="G94" s="4">
        <v>21</v>
      </c>
      <c r="H94" s="4">
        <f t="shared" si="1"/>
        <v>97</v>
      </c>
    </row>
    <row r="95" spans="1:8">
      <c r="A95" s="5" t="s">
        <v>25</v>
      </c>
      <c r="B95" s="10">
        <v>42064</v>
      </c>
      <c r="C95" s="4">
        <v>6</v>
      </c>
      <c r="D95" s="4">
        <v>7</v>
      </c>
      <c r="E95" s="4">
        <v>35</v>
      </c>
      <c r="F95" s="4">
        <v>1</v>
      </c>
      <c r="G95" s="4">
        <v>35</v>
      </c>
      <c r="H95" s="4">
        <f t="shared" si="1"/>
        <v>84</v>
      </c>
    </row>
    <row r="96" spans="1:8">
      <c r="A96" s="5" t="s">
        <v>26</v>
      </c>
      <c r="B96" s="10">
        <v>42064</v>
      </c>
      <c r="C96" s="4">
        <v>19</v>
      </c>
      <c r="D96" s="4">
        <v>2</v>
      </c>
      <c r="E96" s="4">
        <v>11</v>
      </c>
      <c r="F96" s="4">
        <v>10</v>
      </c>
      <c r="G96" s="4">
        <v>21</v>
      </c>
      <c r="H96" s="4">
        <f t="shared" si="1"/>
        <v>63</v>
      </c>
    </row>
    <row r="97" spans="1:8">
      <c r="A97" s="5" t="s">
        <v>27</v>
      </c>
      <c r="B97" s="10">
        <v>42064</v>
      </c>
      <c r="C97" s="4">
        <v>27</v>
      </c>
      <c r="D97" s="4">
        <v>11</v>
      </c>
      <c r="E97" s="4">
        <v>0</v>
      </c>
      <c r="F97" s="4">
        <v>7</v>
      </c>
      <c r="G97" s="4">
        <v>20</v>
      </c>
      <c r="H97" s="4">
        <f t="shared" si="1"/>
        <v>65</v>
      </c>
    </row>
    <row r="98" spans="1:8">
      <c r="A98" s="5" t="s">
        <v>28</v>
      </c>
      <c r="B98" s="10">
        <v>42064</v>
      </c>
      <c r="C98" s="4">
        <v>36</v>
      </c>
      <c r="D98" s="4">
        <v>21</v>
      </c>
      <c r="E98" s="4">
        <v>0</v>
      </c>
      <c r="F98" s="4">
        <v>4</v>
      </c>
      <c r="G98" s="4">
        <v>33</v>
      </c>
      <c r="H98" s="4">
        <f t="shared" si="1"/>
        <v>94</v>
      </c>
    </row>
    <row r="99" spans="1:8">
      <c r="A99" s="5" t="s">
        <v>29</v>
      </c>
      <c r="B99" s="10">
        <v>42064</v>
      </c>
      <c r="C99" s="4">
        <v>25</v>
      </c>
      <c r="D99" s="4">
        <v>38</v>
      </c>
      <c r="E99" s="4">
        <v>36</v>
      </c>
      <c r="F99" s="4">
        <v>24</v>
      </c>
      <c r="G99" s="4">
        <v>19</v>
      </c>
      <c r="H99" s="4">
        <f t="shared" si="1"/>
        <v>142</v>
      </c>
    </row>
    <row r="100" spans="1:8">
      <c r="A100" s="5" t="s">
        <v>30</v>
      </c>
      <c r="B100" s="10">
        <v>42064</v>
      </c>
      <c r="C100" s="4">
        <v>31</v>
      </c>
      <c r="D100" s="4">
        <v>4</v>
      </c>
      <c r="E100" s="4">
        <v>26</v>
      </c>
      <c r="F100" s="4">
        <v>29</v>
      </c>
      <c r="G100" s="4">
        <v>34</v>
      </c>
      <c r="H100" s="4">
        <f t="shared" si="1"/>
        <v>124</v>
      </c>
    </row>
    <row r="101" spans="1:8">
      <c r="A101" s="5" t="s">
        <v>31</v>
      </c>
      <c r="B101" s="10">
        <v>42064</v>
      </c>
      <c r="C101" s="4">
        <v>15</v>
      </c>
      <c r="D101" s="4">
        <v>10</v>
      </c>
      <c r="E101" s="4">
        <v>7</v>
      </c>
      <c r="F101" s="4">
        <v>37</v>
      </c>
      <c r="G101" s="4">
        <v>20</v>
      </c>
      <c r="H101" s="4">
        <f t="shared" si="1"/>
        <v>89</v>
      </c>
    </row>
    <row r="102" spans="1:8">
      <c r="A102" s="5" t="s">
        <v>33</v>
      </c>
      <c r="B102" s="10">
        <v>42064</v>
      </c>
      <c r="C102" s="4">
        <v>33</v>
      </c>
      <c r="D102" s="4">
        <v>23</v>
      </c>
      <c r="E102" s="4">
        <v>32</v>
      </c>
      <c r="F102" s="4">
        <v>5</v>
      </c>
      <c r="G102" s="4">
        <v>18</v>
      </c>
      <c r="H102" s="4">
        <f t="shared" si="1"/>
        <v>111</v>
      </c>
    </row>
    <row r="103" spans="1:8">
      <c r="A103" s="5" t="s">
        <v>34</v>
      </c>
      <c r="B103" s="10">
        <v>42064</v>
      </c>
      <c r="C103" s="4">
        <v>11</v>
      </c>
      <c r="D103" s="4">
        <v>15</v>
      </c>
      <c r="E103" s="4">
        <v>24</v>
      </c>
      <c r="F103" s="4">
        <v>37</v>
      </c>
      <c r="G103" s="4">
        <v>1</v>
      </c>
      <c r="H103" s="4">
        <f t="shared" si="1"/>
        <v>88</v>
      </c>
    </row>
    <row r="104" spans="1:8">
      <c r="A104" s="5" t="s">
        <v>35</v>
      </c>
      <c r="B104" s="10">
        <v>42064</v>
      </c>
      <c r="C104" s="4">
        <v>1</v>
      </c>
      <c r="D104" s="4">
        <v>36</v>
      </c>
      <c r="E104" s="4">
        <v>23</v>
      </c>
      <c r="F104" s="4">
        <v>12</v>
      </c>
      <c r="G104" s="4">
        <v>33</v>
      </c>
      <c r="H104" s="4">
        <f t="shared" si="1"/>
        <v>105</v>
      </c>
    </row>
    <row r="105" spans="1:8">
      <c r="A105" s="5" t="s">
        <v>36</v>
      </c>
      <c r="B105" s="10">
        <v>42064</v>
      </c>
      <c r="C105" s="4">
        <v>39</v>
      </c>
      <c r="D105" s="4">
        <v>28</v>
      </c>
      <c r="E105" s="4">
        <v>21</v>
      </c>
      <c r="F105" s="4">
        <v>2</v>
      </c>
      <c r="G105" s="4">
        <v>8</v>
      </c>
      <c r="H105" s="4">
        <f t="shared" si="1"/>
        <v>98</v>
      </c>
    </row>
    <row r="106" spans="1:8">
      <c r="A106" s="5" t="s">
        <v>32</v>
      </c>
      <c r="B106" s="10">
        <v>42064</v>
      </c>
      <c r="C106" s="4">
        <v>23</v>
      </c>
      <c r="D106" s="4">
        <v>11</v>
      </c>
      <c r="E106" s="4">
        <v>32</v>
      </c>
      <c r="F106" s="4">
        <v>34</v>
      </c>
      <c r="G106" s="4">
        <v>25</v>
      </c>
      <c r="H106" s="4">
        <f t="shared" si="1"/>
        <v>125</v>
      </c>
    </row>
    <row r="107" spans="1:8">
      <c r="A107" s="5" t="s">
        <v>37</v>
      </c>
      <c r="B107" s="10">
        <v>42064</v>
      </c>
      <c r="C107" s="4">
        <v>0</v>
      </c>
      <c r="D107" s="4">
        <v>6</v>
      </c>
      <c r="E107" s="4">
        <v>17</v>
      </c>
      <c r="F107" s="4">
        <v>12</v>
      </c>
      <c r="G107" s="4">
        <v>30</v>
      </c>
      <c r="H107" s="4">
        <f t="shared" si="1"/>
        <v>65</v>
      </c>
    </row>
    <row r="108" spans="1:8">
      <c r="A108" s="5" t="s">
        <v>23</v>
      </c>
      <c r="B108" s="10">
        <v>42036</v>
      </c>
      <c r="C108" s="4">
        <v>17</v>
      </c>
      <c r="D108" s="4">
        <v>13</v>
      </c>
      <c r="E108" s="4">
        <v>35</v>
      </c>
      <c r="F108" s="4">
        <v>22</v>
      </c>
      <c r="G108" s="4">
        <v>21</v>
      </c>
      <c r="H108" s="4">
        <f t="shared" si="1"/>
        <v>108</v>
      </c>
    </row>
    <row r="109" spans="1:8">
      <c r="A109" s="5" t="s">
        <v>24</v>
      </c>
      <c r="B109" s="10">
        <v>42036</v>
      </c>
      <c r="C109" s="4">
        <v>24</v>
      </c>
      <c r="D109" s="4">
        <v>23</v>
      </c>
      <c r="E109" s="4">
        <v>27</v>
      </c>
      <c r="F109" s="4">
        <v>4</v>
      </c>
      <c r="G109" s="4">
        <v>31</v>
      </c>
      <c r="H109" s="4">
        <f t="shared" si="1"/>
        <v>109</v>
      </c>
    </row>
    <row r="110" spans="1:8">
      <c r="A110" s="5" t="s">
        <v>25</v>
      </c>
      <c r="B110" s="10">
        <v>42036</v>
      </c>
      <c r="C110" s="4">
        <v>11</v>
      </c>
      <c r="D110" s="4">
        <v>0</v>
      </c>
      <c r="E110" s="4">
        <v>22</v>
      </c>
      <c r="F110" s="4">
        <v>11</v>
      </c>
      <c r="G110" s="4">
        <v>34</v>
      </c>
      <c r="H110" s="4">
        <f t="shared" si="1"/>
        <v>78</v>
      </c>
    </row>
    <row r="111" spans="1:8">
      <c r="A111" s="5" t="s">
        <v>26</v>
      </c>
      <c r="B111" s="10">
        <v>42036</v>
      </c>
      <c r="C111" s="4">
        <v>5</v>
      </c>
      <c r="D111" s="4">
        <v>24</v>
      </c>
      <c r="E111" s="4">
        <v>6</v>
      </c>
      <c r="F111" s="4">
        <v>5</v>
      </c>
      <c r="G111" s="4">
        <v>14</v>
      </c>
      <c r="H111" s="4">
        <f t="shared" si="1"/>
        <v>54</v>
      </c>
    </row>
    <row r="112" spans="1:8">
      <c r="A112" s="5" t="s">
        <v>27</v>
      </c>
      <c r="B112" s="10">
        <v>42036</v>
      </c>
      <c r="C112" s="4">
        <v>14</v>
      </c>
      <c r="D112" s="4">
        <v>14</v>
      </c>
      <c r="E112" s="4">
        <v>13</v>
      </c>
      <c r="F112" s="4">
        <v>7</v>
      </c>
      <c r="G112" s="4">
        <v>12</v>
      </c>
      <c r="H112" s="4">
        <f t="shared" si="1"/>
        <v>60</v>
      </c>
    </row>
    <row r="113" spans="1:8">
      <c r="A113" s="5" t="s">
        <v>28</v>
      </c>
      <c r="B113" s="10">
        <v>42036</v>
      </c>
      <c r="C113" s="4">
        <v>23</v>
      </c>
      <c r="D113" s="4">
        <v>9</v>
      </c>
      <c r="E113" s="4">
        <v>15</v>
      </c>
      <c r="F113" s="4">
        <v>19</v>
      </c>
      <c r="G113" s="4">
        <v>6</v>
      </c>
      <c r="H113" s="4">
        <f t="shared" si="1"/>
        <v>72</v>
      </c>
    </row>
    <row r="114" spans="1:8">
      <c r="A114" s="5" t="s">
        <v>29</v>
      </c>
      <c r="B114" s="10">
        <v>42036</v>
      </c>
      <c r="C114" s="4">
        <v>3</v>
      </c>
      <c r="D114" s="4">
        <v>8</v>
      </c>
      <c r="E114" s="4">
        <v>33</v>
      </c>
      <c r="F114" s="4">
        <v>6</v>
      </c>
      <c r="G114" s="4">
        <v>29</v>
      </c>
      <c r="H114" s="4">
        <f t="shared" si="1"/>
        <v>79</v>
      </c>
    </row>
    <row r="115" spans="1:8">
      <c r="A115" s="5" t="s">
        <v>30</v>
      </c>
      <c r="B115" s="10">
        <v>42036</v>
      </c>
      <c r="C115" s="4">
        <v>14</v>
      </c>
      <c r="D115" s="4">
        <v>29</v>
      </c>
      <c r="E115" s="4">
        <v>20</v>
      </c>
      <c r="F115" s="4">
        <v>13</v>
      </c>
      <c r="G115" s="4">
        <v>5</v>
      </c>
      <c r="H115" s="4">
        <f t="shared" si="1"/>
        <v>81</v>
      </c>
    </row>
    <row r="116" spans="1:8">
      <c r="A116" s="5" t="s">
        <v>31</v>
      </c>
      <c r="B116" s="10">
        <v>42036</v>
      </c>
      <c r="C116" s="4">
        <v>35</v>
      </c>
      <c r="D116" s="4">
        <v>38</v>
      </c>
      <c r="E116" s="4">
        <v>12</v>
      </c>
      <c r="F116" s="4">
        <v>3</v>
      </c>
      <c r="G116" s="4">
        <v>5</v>
      </c>
      <c r="H116" s="4">
        <f t="shared" si="1"/>
        <v>93</v>
      </c>
    </row>
    <row r="117" spans="1:8">
      <c r="A117" s="5" t="s">
        <v>33</v>
      </c>
      <c r="B117" s="10">
        <v>42036</v>
      </c>
      <c r="C117" s="4">
        <v>33</v>
      </c>
      <c r="D117" s="4">
        <v>38</v>
      </c>
      <c r="E117" s="4">
        <v>38</v>
      </c>
      <c r="F117" s="4">
        <v>14</v>
      </c>
      <c r="G117" s="4">
        <v>33</v>
      </c>
      <c r="H117" s="4">
        <f t="shared" si="1"/>
        <v>156</v>
      </c>
    </row>
    <row r="118" spans="1:8">
      <c r="A118" s="5" t="s">
        <v>34</v>
      </c>
      <c r="B118" s="10">
        <v>42036</v>
      </c>
      <c r="C118" s="4">
        <v>30</v>
      </c>
      <c r="D118" s="4">
        <v>18</v>
      </c>
      <c r="E118" s="4">
        <v>6</v>
      </c>
      <c r="F118" s="4">
        <v>26</v>
      </c>
      <c r="G118" s="4">
        <v>30</v>
      </c>
      <c r="H118" s="4">
        <f t="shared" si="1"/>
        <v>110</v>
      </c>
    </row>
    <row r="119" spans="1:8">
      <c r="A119" s="5" t="s">
        <v>35</v>
      </c>
      <c r="B119" s="10">
        <v>42036</v>
      </c>
      <c r="C119" s="4">
        <v>25</v>
      </c>
      <c r="D119" s="4">
        <v>9</v>
      </c>
      <c r="E119" s="4">
        <v>37</v>
      </c>
      <c r="F119" s="4">
        <v>16</v>
      </c>
      <c r="G119" s="4">
        <v>35</v>
      </c>
      <c r="H119" s="4">
        <f t="shared" si="1"/>
        <v>122</v>
      </c>
    </row>
    <row r="120" spans="1:8">
      <c r="A120" s="5" t="s">
        <v>36</v>
      </c>
      <c r="B120" s="10">
        <v>42036</v>
      </c>
      <c r="C120" s="4">
        <v>7</v>
      </c>
      <c r="D120" s="4">
        <v>27</v>
      </c>
      <c r="E120" s="4">
        <v>19</v>
      </c>
      <c r="F120" s="4">
        <v>23</v>
      </c>
      <c r="G120" s="4">
        <v>22</v>
      </c>
      <c r="H120" s="4">
        <f t="shared" si="1"/>
        <v>98</v>
      </c>
    </row>
    <row r="121" spans="1:8">
      <c r="A121" s="5" t="s">
        <v>32</v>
      </c>
      <c r="B121" s="10">
        <v>42036</v>
      </c>
      <c r="C121" s="4">
        <v>31</v>
      </c>
      <c r="D121" s="4">
        <v>38</v>
      </c>
      <c r="E121" s="4">
        <v>12</v>
      </c>
      <c r="F121" s="4">
        <v>24</v>
      </c>
      <c r="G121" s="4">
        <v>0</v>
      </c>
      <c r="H121" s="4">
        <f t="shared" si="1"/>
        <v>105</v>
      </c>
    </row>
    <row r="122" spans="1:8">
      <c r="A122" s="5" t="s">
        <v>37</v>
      </c>
      <c r="B122" s="10">
        <v>42036</v>
      </c>
      <c r="C122" s="4">
        <v>32</v>
      </c>
      <c r="D122" s="4">
        <v>27</v>
      </c>
      <c r="E122" s="4">
        <v>16</v>
      </c>
      <c r="F122" s="4">
        <v>14</v>
      </c>
      <c r="G122" s="4">
        <v>29</v>
      </c>
      <c r="H122" s="4">
        <f t="shared" si="1"/>
        <v>118</v>
      </c>
    </row>
    <row r="123" spans="1:8">
      <c r="A123" s="5" t="s">
        <v>23</v>
      </c>
      <c r="B123" s="10">
        <v>42005</v>
      </c>
      <c r="C123" s="4">
        <v>5</v>
      </c>
      <c r="D123" s="4">
        <v>21</v>
      </c>
      <c r="E123" s="4">
        <v>26</v>
      </c>
      <c r="F123" s="4">
        <v>16</v>
      </c>
      <c r="G123" s="4">
        <v>13</v>
      </c>
      <c r="H123" s="4">
        <f t="shared" si="1"/>
        <v>81</v>
      </c>
    </row>
    <row r="124" spans="1:8">
      <c r="A124" s="5" t="s">
        <v>24</v>
      </c>
      <c r="B124" s="10">
        <v>42005</v>
      </c>
      <c r="C124" s="4">
        <v>36</v>
      </c>
      <c r="D124" s="4">
        <v>9</v>
      </c>
      <c r="E124" s="4">
        <v>21</v>
      </c>
      <c r="F124" s="4">
        <v>24</v>
      </c>
      <c r="G124" s="4">
        <v>12</v>
      </c>
      <c r="H124" s="4">
        <f t="shared" si="1"/>
        <v>102</v>
      </c>
    </row>
    <row r="125" spans="1:8">
      <c r="A125" s="5" t="s">
        <v>25</v>
      </c>
      <c r="B125" s="10">
        <v>42005</v>
      </c>
      <c r="C125" s="4">
        <v>10</v>
      </c>
      <c r="D125" s="4">
        <v>24</v>
      </c>
      <c r="E125" s="4">
        <v>3</v>
      </c>
      <c r="F125" s="4">
        <v>4</v>
      </c>
      <c r="G125" s="4">
        <v>4</v>
      </c>
      <c r="H125" s="4">
        <f t="shared" si="1"/>
        <v>45</v>
      </c>
    </row>
    <row r="126" spans="1:8">
      <c r="A126" s="5" t="s">
        <v>26</v>
      </c>
      <c r="B126" s="10">
        <v>42005</v>
      </c>
      <c r="C126" s="4">
        <v>3</v>
      </c>
      <c r="D126" s="4">
        <v>6</v>
      </c>
      <c r="E126" s="4">
        <v>10</v>
      </c>
      <c r="F126" s="4">
        <v>18</v>
      </c>
      <c r="G126" s="4">
        <v>29</v>
      </c>
      <c r="H126" s="4">
        <f t="shared" si="1"/>
        <v>66</v>
      </c>
    </row>
    <row r="127" spans="1:8">
      <c r="A127" s="5" t="s">
        <v>27</v>
      </c>
      <c r="B127" s="10">
        <v>42005</v>
      </c>
      <c r="C127" s="4">
        <v>3</v>
      </c>
      <c r="D127" s="4">
        <v>14</v>
      </c>
      <c r="E127" s="4">
        <v>12</v>
      </c>
      <c r="F127" s="4">
        <v>25</v>
      </c>
      <c r="G127" s="4">
        <v>35</v>
      </c>
      <c r="H127" s="4">
        <f t="shared" si="1"/>
        <v>89</v>
      </c>
    </row>
    <row r="128" spans="1:8">
      <c r="A128" s="5" t="s">
        <v>28</v>
      </c>
      <c r="B128" s="10">
        <v>42005</v>
      </c>
      <c r="C128" s="4">
        <v>37</v>
      </c>
      <c r="D128" s="4">
        <v>28</v>
      </c>
      <c r="E128" s="4">
        <v>21</v>
      </c>
      <c r="F128" s="4">
        <v>19</v>
      </c>
      <c r="G128" s="4">
        <v>1</v>
      </c>
      <c r="H128" s="4">
        <f t="shared" si="1"/>
        <v>106</v>
      </c>
    </row>
    <row r="129" spans="1:8">
      <c r="A129" s="5" t="s">
        <v>29</v>
      </c>
      <c r="B129" s="10">
        <v>42005</v>
      </c>
      <c r="C129" s="4">
        <v>4</v>
      </c>
      <c r="D129" s="4">
        <v>18</v>
      </c>
      <c r="E129" s="4">
        <v>33</v>
      </c>
      <c r="F129" s="4">
        <v>23</v>
      </c>
      <c r="G129" s="4">
        <v>35</v>
      </c>
      <c r="H129" s="4">
        <f t="shared" si="1"/>
        <v>113</v>
      </c>
    </row>
    <row r="130" spans="1:8">
      <c r="A130" s="5" t="s">
        <v>30</v>
      </c>
      <c r="B130" s="10">
        <v>42005</v>
      </c>
      <c r="C130" s="4">
        <v>12</v>
      </c>
      <c r="D130" s="4">
        <v>24</v>
      </c>
      <c r="E130" s="4">
        <v>31</v>
      </c>
      <c r="F130" s="4">
        <v>31</v>
      </c>
      <c r="G130" s="4">
        <v>3</v>
      </c>
      <c r="H130" s="4">
        <f t="shared" si="1"/>
        <v>101</v>
      </c>
    </row>
    <row r="131" spans="1:8">
      <c r="A131" s="5" t="s">
        <v>31</v>
      </c>
      <c r="B131" s="10">
        <v>42005</v>
      </c>
      <c r="C131" s="4">
        <v>5</v>
      </c>
      <c r="D131" s="4">
        <v>1</v>
      </c>
      <c r="E131" s="4">
        <v>22</v>
      </c>
      <c r="F131" s="4">
        <v>2</v>
      </c>
      <c r="G131" s="4">
        <v>39</v>
      </c>
      <c r="H131" s="4">
        <f t="shared" si="1"/>
        <v>69</v>
      </c>
    </row>
    <row r="132" spans="1:8">
      <c r="A132" s="5" t="s">
        <v>33</v>
      </c>
      <c r="B132" s="10">
        <v>42005</v>
      </c>
      <c r="C132" s="4">
        <v>38</v>
      </c>
      <c r="D132" s="4">
        <v>14</v>
      </c>
      <c r="E132" s="4">
        <v>7</v>
      </c>
      <c r="F132" s="4">
        <v>26</v>
      </c>
      <c r="G132" s="4">
        <v>39</v>
      </c>
      <c r="H132" s="4">
        <f t="shared" ref="H132:H195" si="2">SUM(C132:G132)</f>
        <v>124</v>
      </c>
    </row>
    <row r="133" spans="1:8">
      <c r="A133" s="5" t="s">
        <v>34</v>
      </c>
      <c r="B133" s="10">
        <v>42005</v>
      </c>
      <c r="C133" s="4">
        <v>13</v>
      </c>
      <c r="D133" s="4">
        <v>18</v>
      </c>
      <c r="E133" s="4">
        <v>20</v>
      </c>
      <c r="F133" s="4">
        <v>10</v>
      </c>
      <c r="G133" s="4">
        <v>15</v>
      </c>
      <c r="H133" s="4">
        <f t="shared" si="2"/>
        <v>76</v>
      </c>
    </row>
    <row r="134" spans="1:8">
      <c r="A134" s="5" t="s">
        <v>35</v>
      </c>
      <c r="B134" s="10">
        <v>42005</v>
      </c>
      <c r="C134" s="4">
        <v>0</v>
      </c>
      <c r="D134" s="4">
        <v>36</v>
      </c>
      <c r="E134" s="4">
        <v>22</v>
      </c>
      <c r="F134" s="4">
        <v>8</v>
      </c>
      <c r="G134" s="4">
        <v>19</v>
      </c>
      <c r="H134" s="4">
        <f t="shared" si="2"/>
        <v>85</v>
      </c>
    </row>
    <row r="135" spans="1:8">
      <c r="A135" s="5" t="s">
        <v>36</v>
      </c>
      <c r="B135" s="10">
        <v>42005</v>
      </c>
      <c r="C135" s="4">
        <v>4</v>
      </c>
      <c r="D135" s="4">
        <v>31</v>
      </c>
      <c r="E135" s="4">
        <v>2</v>
      </c>
      <c r="F135" s="4">
        <v>1</v>
      </c>
      <c r="G135" s="4">
        <v>19</v>
      </c>
      <c r="H135" s="4">
        <f t="shared" si="2"/>
        <v>57</v>
      </c>
    </row>
    <row r="136" spans="1:8">
      <c r="A136" s="5" t="s">
        <v>32</v>
      </c>
      <c r="B136" s="10">
        <v>42005</v>
      </c>
      <c r="C136" s="4">
        <v>16</v>
      </c>
      <c r="D136" s="4">
        <v>7</v>
      </c>
      <c r="E136" s="4">
        <v>29</v>
      </c>
      <c r="F136" s="4">
        <v>22</v>
      </c>
      <c r="G136" s="4">
        <v>2</v>
      </c>
      <c r="H136" s="4">
        <f t="shared" si="2"/>
        <v>76</v>
      </c>
    </row>
    <row r="137" spans="1:8">
      <c r="A137" s="5" t="s">
        <v>37</v>
      </c>
      <c r="B137" s="10">
        <v>42005</v>
      </c>
      <c r="C137" s="4">
        <v>29</v>
      </c>
      <c r="D137" s="4">
        <v>25</v>
      </c>
      <c r="E137" s="4">
        <v>35</v>
      </c>
      <c r="F137" s="4">
        <v>9</v>
      </c>
      <c r="G137" s="4">
        <v>3</v>
      </c>
      <c r="H137" s="4">
        <f t="shared" si="2"/>
        <v>101</v>
      </c>
    </row>
    <row r="138" spans="1:8">
      <c r="A138" s="5" t="s">
        <v>23</v>
      </c>
      <c r="B138" s="10">
        <v>41974</v>
      </c>
      <c r="C138" s="4">
        <v>20</v>
      </c>
      <c r="D138" s="4">
        <v>36</v>
      </c>
      <c r="E138" s="4">
        <v>46</v>
      </c>
      <c r="F138" s="4">
        <v>36</v>
      </c>
      <c r="G138" s="4">
        <v>9</v>
      </c>
      <c r="H138" s="4">
        <f t="shared" si="2"/>
        <v>147</v>
      </c>
    </row>
    <row r="139" spans="1:8">
      <c r="A139" s="5" t="s">
        <v>24</v>
      </c>
      <c r="B139" s="10">
        <v>41974</v>
      </c>
      <c r="C139" s="4">
        <v>6</v>
      </c>
      <c r="D139" s="4">
        <v>3</v>
      </c>
      <c r="E139" s="4">
        <v>26</v>
      </c>
      <c r="F139" s="4">
        <v>45</v>
      </c>
      <c r="G139" s="4">
        <v>3</v>
      </c>
      <c r="H139" s="4">
        <f t="shared" si="2"/>
        <v>83</v>
      </c>
    </row>
    <row r="140" spans="1:8">
      <c r="A140" s="5" t="s">
        <v>25</v>
      </c>
      <c r="B140" s="10">
        <v>41974</v>
      </c>
      <c r="C140" s="4">
        <v>15</v>
      </c>
      <c r="D140" s="4">
        <v>12</v>
      </c>
      <c r="E140" s="4">
        <v>44</v>
      </c>
      <c r="F140" s="4">
        <v>6</v>
      </c>
      <c r="G140" s="4">
        <v>28</v>
      </c>
      <c r="H140" s="4">
        <f t="shared" si="2"/>
        <v>105</v>
      </c>
    </row>
    <row r="141" spans="1:8">
      <c r="A141" s="5" t="s">
        <v>26</v>
      </c>
      <c r="B141" s="10">
        <v>41974</v>
      </c>
      <c r="C141" s="4">
        <v>17</v>
      </c>
      <c r="D141" s="4">
        <v>5</v>
      </c>
      <c r="E141" s="4">
        <v>23</v>
      </c>
      <c r="F141" s="4">
        <v>38</v>
      </c>
      <c r="G141" s="4">
        <v>43</v>
      </c>
      <c r="H141" s="4">
        <f t="shared" si="2"/>
        <v>126</v>
      </c>
    </row>
    <row r="142" spans="1:8">
      <c r="A142" s="5" t="s">
        <v>27</v>
      </c>
      <c r="B142" s="10">
        <v>41974</v>
      </c>
      <c r="C142" s="4">
        <v>23</v>
      </c>
      <c r="D142" s="4">
        <v>39</v>
      </c>
      <c r="E142" s="4">
        <v>6</v>
      </c>
      <c r="F142" s="4">
        <v>25</v>
      </c>
      <c r="G142" s="4">
        <v>47</v>
      </c>
      <c r="H142" s="4">
        <f t="shared" si="2"/>
        <v>140</v>
      </c>
    </row>
    <row r="143" spans="1:8">
      <c r="A143" s="5" t="s">
        <v>28</v>
      </c>
      <c r="B143" s="10">
        <v>41974</v>
      </c>
      <c r="C143" s="4">
        <v>26</v>
      </c>
      <c r="D143" s="4">
        <v>38</v>
      </c>
      <c r="E143" s="4">
        <v>41</v>
      </c>
      <c r="F143" s="4">
        <v>1</v>
      </c>
      <c r="G143" s="4">
        <v>21</v>
      </c>
      <c r="H143" s="4">
        <f t="shared" si="2"/>
        <v>127</v>
      </c>
    </row>
    <row r="144" spans="1:8">
      <c r="A144" s="5" t="s">
        <v>29</v>
      </c>
      <c r="B144" s="10">
        <v>41974</v>
      </c>
      <c r="C144" s="4">
        <v>27</v>
      </c>
      <c r="D144" s="4">
        <v>32</v>
      </c>
      <c r="E144" s="4">
        <v>11</v>
      </c>
      <c r="F144" s="4">
        <v>48</v>
      </c>
      <c r="G144" s="4">
        <v>12</v>
      </c>
      <c r="H144" s="4">
        <f t="shared" si="2"/>
        <v>130</v>
      </c>
    </row>
    <row r="145" spans="1:8">
      <c r="A145" s="5" t="s">
        <v>30</v>
      </c>
      <c r="B145" s="10">
        <v>41974</v>
      </c>
      <c r="C145" s="4">
        <v>1</v>
      </c>
      <c r="D145" s="4">
        <v>3</v>
      </c>
      <c r="E145" s="4">
        <v>26</v>
      </c>
      <c r="F145" s="4">
        <v>41</v>
      </c>
      <c r="G145" s="4">
        <v>13</v>
      </c>
      <c r="H145" s="4">
        <f t="shared" si="2"/>
        <v>84</v>
      </c>
    </row>
    <row r="146" spans="1:8">
      <c r="A146" s="5" t="s">
        <v>31</v>
      </c>
      <c r="B146" s="10">
        <v>41974</v>
      </c>
      <c r="C146" s="4">
        <v>25</v>
      </c>
      <c r="D146" s="4">
        <v>31</v>
      </c>
      <c r="E146" s="4">
        <v>36</v>
      </c>
      <c r="F146" s="4">
        <v>10</v>
      </c>
      <c r="G146" s="4">
        <v>0</v>
      </c>
      <c r="H146" s="4">
        <f t="shared" si="2"/>
        <v>102</v>
      </c>
    </row>
    <row r="147" spans="1:8">
      <c r="A147" s="5" t="s">
        <v>33</v>
      </c>
      <c r="B147" s="10">
        <v>41974</v>
      </c>
      <c r="C147" s="4">
        <v>40</v>
      </c>
      <c r="D147" s="4">
        <v>44</v>
      </c>
      <c r="E147" s="4">
        <v>0</v>
      </c>
      <c r="F147" s="4">
        <v>34</v>
      </c>
      <c r="G147" s="4">
        <v>29</v>
      </c>
      <c r="H147" s="4">
        <f t="shared" si="2"/>
        <v>147</v>
      </c>
    </row>
    <row r="148" spans="1:8">
      <c r="A148" s="5" t="s">
        <v>34</v>
      </c>
      <c r="B148" s="10">
        <v>41974</v>
      </c>
      <c r="C148" s="4">
        <v>8</v>
      </c>
      <c r="D148" s="4">
        <v>7</v>
      </c>
      <c r="E148" s="4">
        <v>24</v>
      </c>
      <c r="F148" s="4">
        <v>15</v>
      </c>
      <c r="G148" s="4">
        <v>20</v>
      </c>
      <c r="H148" s="4">
        <f t="shared" si="2"/>
        <v>74</v>
      </c>
    </row>
    <row r="149" spans="1:8">
      <c r="A149" s="5" t="s">
        <v>35</v>
      </c>
      <c r="B149" s="10">
        <v>41974</v>
      </c>
      <c r="C149" s="4">
        <v>26</v>
      </c>
      <c r="D149" s="4">
        <v>25</v>
      </c>
      <c r="E149" s="4">
        <v>26</v>
      </c>
      <c r="F149" s="4">
        <v>21</v>
      </c>
      <c r="G149" s="4">
        <v>38</v>
      </c>
      <c r="H149" s="4">
        <f t="shared" si="2"/>
        <v>136</v>
      </c>
    </row>
    <row r="150" spans="1:8">
      <c r="A150" s="5" t="s">
        <v>36</v>
      </c>
      <c r="B150" s="10">
        <v>41974</v>
      </c>
      <c r="C150" s="4">
        <v>27</v>
      </c>
      <c r="D150" s="4">
        <v>19</v>
      </c>
      <c r="E150" s="4">
        <v>36</v>
      </c>
      <c r="F150" s="4">
        <v>19</v>
      </c>
      <c r="G150" s="4">
        <v>29</v>
      </c>
      <c r="H150" s="4">
        <f t="shared" si="2"/>
        <v>130</v>
      </c>
    </row>
    <row r="151" spans="1:8">
      <c r="A151" s="5" t="s">
        <v>32</v>
      </c>
      <c r="B151" s="10">
        <v>41974</v>
      </c>
      <c r="C151" s="4">
        <v>28</v>
      </c>
      <c r="D151" s="4">
        <v>24</v>
      </c>
      <c r="E151" s="4">
        <v>36</v>
      </c>
      <c r="F151" s="4">
        <v>8</v>
      </c>
      <c r="G151" s="4">
        <v>10</v>
      </c>
      <c r="H151" s="4">
        <f t="shared" si="2"/>
        <v>106</v>
      </c>
    </row>
    <row r="152" spans="1:8">
      <c r="A152" s="5" t="s">
        <v>37</v>
      </c>
      <c r="B152" s="10">
        <v>41974</v>
      </c>
      <c r="C152" s="4">
        <v>5</v>
      </c>
      <c r="D152" s="4">
        <v>40</v>
      </c>
      <c r="E152" s="4">
        <v>35</v>
      </c>
      <c r="F152" s="4">
        <v>22</v>
      </c>
      <c r="G152" s="4">
        <v>31</v>
      </c>
      <c r="H152" s="4">
        <f t="shared" si="2"/>
        <v>133</v>
      </c>
    </row>
    <row r="153" spans="1:8">
      <c r="A153" s="5" t="s">
        <v>23</v>
      </c>
      <c r="B153" s="10">
        <v>41944</v>
      </c>
      <c r="C153" s="4">
        <v>35</v>
      </c>
      <c r="D153" s="4">
        <v>12</v>
      </c>
      <c r="E153" s="4">
        <v>46</v>
      </c>
      <c r="F153" s="4">
        <v>28</v>
      </c>
      <c r="G153" s="4">
        <v>37</v>
      </c>
      <c r="H153" s="4">
        <f t="shared" si="2"/>
        <v>158</v>
      </c>
    </row>
    <row r="154" spans="1:8">
      <c r="A154" s="5" t="s">
        <v>24</v>
      </c>
      <c r="B154" s="10">
        <v>41944</v>
      </c>
      <c r="C154" s="4">
        <v>12</v>
      </c>
      <c r="D154" s="4">
        <v>34</v>
      </c>
      <c r="E154" s="4">
        <v>28</v>
      </c>
      <c r="F154" s="4">
        <v>27</v>
      </c>
      <c r="G154" s="4">
        <v>8</v>
      </c>
      <c r="H154" s="4">
        <f t="shared" si="2"/>
        <v>109</v>
      </c>
    </row>
    <row r="155" spans="1:8">
      <c r="A155" s="5" t="s">
        <v>25</v>
      </c>
      <c r="B155" s="10">
        <v>41944</v>
      </c>
      <c r="C155" s="4">
        <v>2</v>
      </c>
      <c r="D155" s="4">
        <v>23</v>
      </c>
      <c r="E155" s="4">
        <v>32</v>
      </c>
      <c r="F155" s="4">
        <v>17</v>
      </c>
      <c r="G155" s="4">
        <v>41</v>
      </c>
      <c r="H155" s="4">
        <f t="shared" si="2"/>
        <v>115</v>
      </c>
    </row>
    <row r="156" spans="1:8">
      <c r="A156" s="5" t="s">
        <v>26</v>
      </c>
      <c r="B156" s="10">
        <v>41944</v>
      </c>
      <c r="C156" s="4">
        <v>45</v>
      </c>
      <c r="D156" s="4">
        <v>10</v>
      </c>
      <c r="E156" s="4">
        <v>35</v>
      </c>
      <c r="F156" s="4">
        <v>3</v>
      </c>
      <c r="G156" s="4">
        <v>5</v>
      </c>
      <c r="H156" s="4">
        <f t="shared" si="2"/>
        <v>98</v>
      </c>
    </row>
    <row r="157" spans="1:8">
      <c r="A157" s="5" t="s">
        <v>27</v>
      </c>
      <c r="B157" s="10">
        <v>41944</v>
      </c>
      <c r="C157" s="4">
        <v>47</v>
      </c>
      <c r="D157" s="4">
        <v>44</v>
      </c>
      <c r="E157" s="4">
        <v>24</v>
      </c>
      <c r="F157" s="4">
        <v>24</v>
      </c>
      <c r="G157" s="4">
        <v>46</v>
      </c>
      <c r="H157" s="4">
        <f t="shared" si="2"/>
        <v>185</v>
      </c>
    </row>
    <row r="158" spans="1:8">
      <c r="A158" s="5" t="s">
        <v>28</v>
      </c>
      <c r="B158" s="10">
        <v>41944</v>
      </c>
      <c r="C158" s="4">
        <v>18</v>
      </c>
      <c r="D158" s="4">
        <v>32</v>
      </c>
      <c r="E158" s="4">
        <v>15</v>
      </c>
      <c r="F158" s="4">
        <v>19</v>
      </c>
      <c r="G158" s="4">
        <v>0</v>
      </c>
      <c r="H158" s="4">
        <f t="shared" si="2"/>
        <v>84</v>
      </c>
    </row>
    <row r="159" spans="1:8">
      <c r="A159" s="5" t="s">
        <v>29</v>
      </c>
      <c r="B159" s="10">
        <v>41944</v>
      </c>
      <c r="C159" s="4">
        <v>26</v>
      </c>
      <c r="D159" s="4">
        <v>35</v>
      </c>
      <c r="E159" s="4">
        <v>3</v>
      </c>
      <c r="F159" s="4">
        <v>14</v>
      </c>
      <c r="G159" s="4">
        <v>31</v>
      </c>
      <c r="H159" s="4">
        <f t="shared" si="2"/>
        <v>109</v>
      </c>
    </row>
    <row r="160" spans="1:8">
      <c r="A160" s="5" t="s">
        <v>30</v>
      </c>
      <c r="B160" s="10">
        <v>41944</v>
      </c>
      <c r="C160" s="4">
        <v>15</v>
      </c>
      <c r="D160" s="4">
        <v>28</v>
      </c>
      <c r="E160" s="4">
        <v>38</v>
      </c>
      <c r="F160" s="4">
        <v>20</v>
      </c>
      <c r="G160" s="4">
        <v>29</v>
      </c>
      <c r="H160" s="4">
        <f t="shared" si="2"/>
        <v>130</v>
      </c>
    </row>
    <row r="161" spans="1:8">
      <c r="A161" s="5" t="s">
        <v>31</v>
      </c>
      <c r="B161" s="10">
        <v>41944</v>
      </c>
      <c r="C161" s="4">
        <v>17</v>
      </c>
      <c r="D161" s="4">
        <v>8</v>
      </c>
      <c r="E161" s="4">
        <v>22</v>
      </c>
      <c r="F161" s="4">
        <v>21</v>
      </c>
      <c r="G161" s="4">
        <v>41</v>
      </c>
      <c r="H161" s="4">
        <f t="shared" si="2"/>
        <v>109</v>
      </c>
    </row>
    <row r="162" spans="1:8">
      <c r="A162" s="5" t="s">
        <v>33</v>
      </c>
      <c r="B162" s="10">
        <v>41944</v>
      </c>
      <c r="C162" s="4">
        <v>28</v>
      </c>
      <c r="D162" s="4">
        <v>4</v>
      </c>
      <c r="E162" s="4">
        <v>24</v>
      </c>
      <c r="F162" s="4">
        <v>17</v>
      </c>
      <c r="G162" s="4">
        <v>23</v>
      </c>
      <c r="H162" s="4">
        <f t="shared" si="2"/>
        <v>96</v>
      </c>
    </row>
    <row r="163" spans="1:8">
      <c r="A163" s="5" t="s">
        <v>34</v>
      </c>
      <c r="B163" s="10">
        <v>41944</v>
      </c>
      <c r="C163" s="4">
        <v>18</v>
      </c>
      <c r="D163" s="4">
        <v>25</v>
      </c>
      <c r="E163" s="4">
        <v>0</v>
      </c>
      <c r="F163" s="4">
        <v>46</v>
      </c>
      <c r="G163" s="4">
        <v>2</v>
      </c>
      <c r="H163" s="4">
        <f t="shared" si="2"/>
        <v>91</v>
      </c>
    </row>
    <row r="164" spans="1:8">
      <c r="A164" s="5" t="s">
        <v>35</v>
      </c>
      <c r="B164" s="10">
        <v>41944</v>
      </c>
      <c r="C164" s="4">
        <v>36</v>
      </c>
      <c r="D164" s="4">
        <v>36</v>
      </c>
      <c r="E164" s="4">
        <v>47</v>
      </c>
      <c r="F164" s="4">
        <v>16</v>
      </c>
      <c r="G164" s="4">
        <v>34</v>
      </c>
      <c r="H164" s="4">
        <f t="shared" si="2"/>
        <v>169</v>
      </c>
    </row>
    <row r="165" spans="1:8">
      <c r="A165" s="5" t="s">
        <v>36</v>
      </c>
      <c r="B165" s="10">
        <v>41944</v>
      </c>
      <c r="C165" s="4">
        <v>8</v>
      </c>
      <c r="D165" s="4">
        <v>0</v>
      </c>
      <c r="E165" s="4">
        <v>36</v>
      </c>
      <c r="F165" s="4">
        <v>8</v>
      </c>
      <c r="G165" s="4">
        <v>43</v>
      </c>
      <c r="H165" s="4">
        <f t="shared" si="2"/>
        <v>95</v>
      </c>
    </row>
    <row r="166" spans="1:8">
      <c r="A166" s="5" t="s">
        <v>32</v>
      </c>
      <c r="B166" s="10">
        <v>41944</v>
      </c>
      <c r="C166" s="4">
        <v>47</v>
      </c>
      <c r="D166" s="4">
        <v>37</v>
      </c>
      <c r="E166" s="4">
        <v>41</v>
      </c>
      <c r="F166" s="4">
        <v>28</v>
      </c>
      <c r="G166" s="4">
        <v>41</v>
      </c>
      <c r="H166" s="4">
        <f t="shared" si="2"/>
        <v>194</v>
      </c>
    </row>
    <row r="167" spans="1:8">
      <c r="A167" s="5" t="s">
        <v>37</v>
      </c>
      <c r="B167" s="10">
        <v>41944</v>
      </c>
      <c r="C167" s="4">
        <v>35</v>
      </c>
      <c r="D167" s="4">
        <v>5</v>
      </c>
      <c r="E167" s="4">
        <v>17</v>
      </c>
      <c r="F167" s="4">
        <v>16</v>
      </c>
      <c r="G167" s="4">
        <v>20</v>
      </c>
      <c r="H167" s="4">
        <f t="shared" si="2"/>
        <v>93</v>
      </c>
    </row>
    <row r="168" spans="1:8">
      <c r="A168" s="5" t="s">
        <v>23</v>
      </c>
      <c r="B168" s="10">
        <v>41913</v>
      </c>
      <c r="C168" s="4">
        <v>34</v>
      </c>
      <c r="D168" s="4">
        <v>21</v>
      </c>
      <c r="E168" s="4">
        <v>32</v>
      </c>
      <c r="F168" s="4">
        <v>23</v>
      </c>
      <c r="G168" s="4">
        <v>49</v>
      </c>
      <c r="H168" s="4">
        <f t="shared" si="2"/>
        <v>159</v>
      </c>
    </row>
    <row r="169" spans="1:8">
      <c r="A169" s="5" t="s">
        <v>24</v>
      </c>
      <c r="B169" s="10">
        <v>41913</v>
      </c>
      <c r="C169" s="4">
        <v>14</v>
      </c>
      <c r="D169" s="4">
        <v>29</v>
      </c>
      <c r="E169" s="4">
        <v>9</v>
      </c>
      <c r="F169" s="4">
        <v>2</v>
      </c>
      <c r="G169" s="4">
        <v>12</v>
      </c>
      <c r="H169" s="4">
        <f t="shared" si="2"/>
        <v>66</v>
      </c>
    </row>
    <row r="170" spans="1:8">
      <c r="A170" s="5" t="s">
        <v>25</v>
      </c>
      <c r="B170" s="10">
        <v>41913</v>
      </c>
      <c r="C170" s="4">
        <v>42</v>
      </c>
      <c r="D170" s="4">
        <v>4</v>
      </c>
      <c r="E170" s="4">
        <v>17</v>
      </c>
      <c r="F170" s="4">
        <v>22</v>
      </c>
      <c r="G170" s="4">
        <v>44</v>
      </c>
      <c r="H170" s="4">
        <f t="shared" si="2"/>
        <v>129</v>
      </c>
    </row>
    <row r="171" spans="1:8">
      <c r="A171" s="5" t="s">
        <v>26</v>
      </c>
      <c r="B171" s="10">
        <v>41913</v>
      </c>
      <c r="C171" s="4">
        <v>44</v>
      </c>
      <c r="D171" s="4">
        <v>21</v>
      </c>
      <c r="E171" s="4">
        <v>5</v>
      </c>
      <c r="F171" s="4">
        <v>16</v>
      </c>
      <c r="G171" s="4">
        <v>39</v>
      </c>
      <c r="H171" s="4">
        <f t="shared" si="2"/>
        <v>125</v>
      </c>
    </row>
    <row r="172" spans="1:8">
      <c r="A172" s="5" t="s">
        <v>27</v>
      </c>
      <c r="B172" s="10">
        <v>41913</v>
      </c>
      <c r="C172" s="4">
        <v>6</v>
      </c>
      <c r="D172" s="4">
        <v>24</v>
      </c>
      <c r="E172" s="4">
        <v>27</v>
      </c>
      <c r="F172" s="4">
        <v>11</v>
      </c>
      <c r="G172" s="4">
        <v>31</v>
      </c>
      <c r="H172" s="4">
        <f t="shared" si="2"/>
        <v>99</v>
      </c>
    </row>
    <row r="173" spans="1:8">
      <c r="A173" s="5" t="s">
        <v>28</v>
      </c>
      <c r="B173" s="10">
        <v>41913</v>
      </c>
      <c r="C173" s="4">
        <v>12</v>
      </c>
      <c r="D173" s="4">
        <v>43</v>
      </c>
      <c r="E173" s="4">
        <v>39</v>
      </c>
      <c r="F173" s="4">
        <v>3</v>
      </c>
      <c r="G173" s="4">
        <v>42</v>
      </c>
      <c r="H173" s="4">
        <f t="shared" si="2"/>
        <v>139</v>
      </c>
    </row>
    <row r="174" spans="1:8">
      <c r="A174" s="5" t="s">
        <v>29</v>
      </c>
      <c r="B174" s="10">
        <v>41913</v>
      </c>
      <c r="C174" s="4">
        <v>8</v>
      </c>
      <c r="D174" s="4">
        <v>30</v>
      </c>
      <c r="E174" s="4">
        <v>37</v>
      </c>
      <c r="F174" s="4">
        <v>27</v>
      </c>
      <c r="G174" s="4">
        <v>0</v>
      </c>
      <c r="H174" s="4">
        <f t="shared" si="2"/>
        <v>102</v>
      </c>
    </row>
    <row r="175" spans="1:8">
      <c r="A175" s="5" t="s">
        <v>30</v>
      </c>
      <c r="B175" s="10">
        <v>41913</v>
      </c>
      <c r="C175" s="4">
        <v>23</v>
      </c>
      <c r="D175" s="4">
        <v>38</v>
      </c>
      <c r="E175" s="4">
        <v>9</v>
      </c>
      <c r="F175" s="4">
        <v>6</v>
      </c>
      <c r="G175" s="4">
        <v>43</v>
      </c>
      <c r="H175" s="4">
        <f t="shared" si="2"/>
        <v>119</v>
      </c>
    </row>
    <row r="176" spans="1:8">
      <c r="A176" s="5" t="s">
        <v>31</v>
      </c>
      <c r="B176" s="10">
        <v>41913</v>
      </c>
      <c r="C176" s="4">
        <v>30</v>
      </c>
      <c r="D176" s="4">
        <v>13</v>
      </c>
      <c r="E176" s="4">
        <v>47</v>
      </c>
      <c r="F176" s="4">
        <v>28</v>
      </c>
      <c r="G176" s="4">
        <v>30</v>
      </c>
      <c r="H176" s="4">
        <f t="shared" si="2"/>
        <v>148</v>
      </c>
    </row>
    <row r="177" spans="1:8">
      <c r="A177" s="5" t="s">
        <v>33</v>
      </c>
      <c r="B177" s="10">
        <v>41913</v>
      </c>
      <c r="C177" s="4">
        <v>2</v>
      </c>
      <c r="D177" s="4">
        <v>12</v>
      </c>
      <c r="E177" s="4">
        <v>22</v>
      </c>
      <c r="F177" s="4">
        <v>42</v>
      </c>
      <c r="G177" s="4">
        <v>38</v>
      </c>
      <c r="H177" s="4">
        <f t="shared" si="2"/>
        <v>116</v>
      </c>
    </row>
    <row r="178" spans="1:8">
      <c r="A178" s="5" t="s">
        <v>34</v>
      </c>
      <c r="B178" s="10">
        <v>41913</v>
      </c>
      <c r="C178" s="4">
        <v>42</v>
      </c>
      <c r="D178" s="4">
        <v>4</v>
      </c>
      <c r="E178" s="4">
        <v>38</v>
      </c>
      <c r="F178" s="4">
        <v>0</v>
      </c>
      <c r="G178" s="4">
        <v>47</v>
      </c>
      <c r="H178" s="4">
        <f t="shared" si="2"/>
        <v>131</v>
      </c>
    </row>
    <row r="179" spans="1:8">
      <c r="A179" s="5" t="s">
        <v>35</v>
      </c>
      <c r="B179" s="10">
        <v>41913</v>
      </c>
      <c r="C179" s="4">
        <v>24</v>
      </c>
      <c r="D179" s="4">
        <v>28</v>
      </c>
      <c r="E179" s="4">
        <v>1</v>
      </c>
      <c r="F179" s="4">
        <v>1</v>
      </c>
      <c r="G179" s="4">
        <v>49</v>
      </c>
      <c r="H179" s="4">
        <f t="shared" si="2"/>
        <v>103</v>
      </c>
    </row>
    <row r="180" spans="1:8">
      <c r="A180" s="5" t="s">
        <v>36</v>
      </c>
      <c r="B180" s="10">
        <v>41913</v>
      </c>
      <c r="C180" s="4">
        <v>38</v>
      </c>
      <c r="D180" s="4">
        <v>48</v>
      </c>
      <c r="E180" s="4">
        <v>19</v>
      </c>
      <c r="F180" s="4">
        <v>2</v>
      </c>
      <c r="G180" s="4">
        <v>29</v>
      </c>
      <c r="H180" s="4">
        <f t="shared" si="2"/>
        <v>136</v>
      </c>
    </row>
    <row r="181" spans="1:8">
      <c r="A181" s="5" t="s">
        <v>32</v>
      </c>
      <c r="B181" s="10">
        <v>41913</v>
      </c>
      <c r="C181" s="4">
        <v>41</v>
      </c>
      <c r="D181" s="4">
        <v>0</v>
      </c>
      <c r="E181" s="4">
        <v>7</v>
      </c>
      <c r="F181" s="4">
        <v>37</v>
      </c>
      <c r="G181" s="4">
        <v>22</v>
      </c>
      <c r="H181" s="4">
        <f t="shared" si="2"/>
        <v>107</v>
      </c>
    </row>
    <row r="182" spans="1:8">
      <c r="A182" s="5" t="s">
        <v>37</v>
      </c>
      <c r="B182" s="10">
        <v>41913</v>
      </c>
      <c r="C182" s="4">
        <v>24</v>
      </c>
      <c r="D182" s="4">
        <v>42</v>
      </c>
      <c r="E182" s="4">
        <v>49</v>
      </c>
      <c r="F182" s="4">
        <v>10</v>
      </c>
      <c r="G182" s="4">
        <v>27</v>
      </c>
      <c r="H182" s="4">
        <f t="shared" si="2"/>
        <v>152</v>
      </c>
    </row>
    <row r="183" spans="1:8">
      <c r="A183" s="5" t="s">
        <v>23</v>
      </c>
      <c r="B183" s="10">
        <v>41883</v>
      </c>
      <c r="C183" s="4">
        <v>2</v>
      </c>
      <c r="D183" s="4">
        <v>9</v>
      </c>
      <c r="E183" s="4">
        <v>5</v>
      </c>
      <c r="F183" s="4">
        <v>10</v>
      </c>
      <c r="G183" s="4">
        <v>46</v>
      </c>
      <c r="H183" s="4">
        <f t="shared" si="2"/>
        <v>72</v>
      </c>
    </row>
    <row r="184" spans="1:8">
      <c r="A184" s="5" t="s">
        <v>24</v>
      </c>
      <c r="B184" s="10">
        <v>41883</v>
      </c>
      <c r="C184" s="4">
        <v>36</v>
      </c>
      <c r="D184" s="4">
        <v>22</v>
      </c>
      <c r="E184" s="4">
        <v>12</v>
      </c>
      <c r="F184" s="4">
        <v>49</v>
      </c>
      <c r="G184" s="4">
        <v>17</v>
      </c>
      <c r="H184" s="4">
        <f t="shared" si="2"/>
        <v>136</v>
      </c>
    </row>
    <row r="185" spans="1:8">
      <c r="A185" s="5" t="s">
        <v>25</v>
      </c>
      <c r="B185" s="10">
        <v>41883</v>
      </c>
      <c r="C185" s="4">
        <v>41</v>
      </c>
      <c r="D185" s="4">
        <v>21</v>
      </c>
      <c r="E185" s="4">
        <v>32</v>
      </c>
      <c r="F185" s="4">
        <v>48</v>
      </c>
      <c r="G185" s="4">
        <v>9</v>
      </c>
      <c r="H185" s="4">
        <f t="shared" si="2"/>
        <v>151</v>
      </c>
    </row>
    <row r="186" spans="1:8">
      <c r="A186" s="5" t="s">
        <v>26</v>
      </c>
      <c r="B186" s="10">
        <v>41883</v>
      </c>
      <c r="C186" s="4">
        <v>9</v>
      </c>
      <c r="D186" s="4">
        <v>48</v>
      </c>
      <c r="E186" s="4">
        <v>12</v>
      </c>
      <c r="F186" s="4">
        <v>24</v>
      </c>
      <c r="G186" s="4">
        <v>35</v>
      </c>
      <c r="H186" s="4">
        <f t="shared" si="2"/>
        <v>128</v>
      </c>
    </row>
    <row r="187" spans="1:8">
      <c r="A187" s="5" t="s">
        <v>27</v>
      </c>
      <c r="B187" s="10">
        <v>41883</v>
      </c>
      <c r="C187" s="4">
        <v>37</v>
      </c>
      <c r="D187" s="4">
        <v>6</v>
      </c>
      <c r="E187" s="4">
        <v>6</v>
      </c>
      <c r="F187" s="4">
        <v>9</v>
      </c>
      <c r="G187" s="4">
        <v>1</v>
      </c>
      <c r="H187" s="4">
        <f t="shared" si="2"/>
        <v>59</v>
      </c>
    </row>
    <row r="188" spans="1:8">
      <c r="A188" s="5" t="s">
        <v>28</v>
      </c>
      <c r="B188" s="10">
        <v>41883</v>
      </c>
      <c r="C188" s="4">
        <v>39</v>
      </c>
      <c r="D188" s="4">
        <v>44</v>
      </c>
      <c r="E188" s="4">
        <v>37</v>
      </c>
      <c r="F188" s="4">
        <v>18</v>
      </c>
      <c r="G188" s="4">
        <v>47</v>
      </c>
      <c r="H188" s="4">
        <f t="shared" si="2"/>
        <v>185</v>
      </c>
    </row>
    <row r="189" spans="1:8">
      <c r="A189" s="5" t="s">
        <v>29</v>
      </c>
      <c r="B189" s="10">
        <v>41883</v>
      </c>
      <c r="C189" s="4">
        <v>30</v>
      </c>
      <c r="D189" s="4">
        <v>10</v>
      </c>
      <c r="E189" s="4">
        <v>44</v>
      </c>
      <c r="F189" s="4">
        <v>33</v>
      </c>
      <c r="G189" s="4">
        <v>45</v>
      </c>
      <c r="H189" s="4">
        <f t="shared" si="2"/>
        <v>162</v>
      </c>
    </row>
    <row r="190" spans="1:8">
      <c r="A190" s="5" t="s">
        <v>30</v>
      </c>
      <c r="B190" s="10">
        <v>41883</v>
      </c>
      <c r="C190" s="4">
        <v>8</v>
      </c>
      <c r="D190" s="4">
        <v>43</v>
      </c>
      <c r="E190" s="4">
        <v>49</v>
      </c>
      <c r="F190" s="4">
        <v>30</v>
      </c>
      <c r="G190" s="4">
        <v>22</v>
      </c>
      <c r="H190" s="4">
        <f t="shared" si="2"/>
        <v>152</v>
      </c>
    </row>
    <row r="191" spans="1:8">
      <c r="A191" s="5" t="s">
        <v>31</v>
      </c>
      <c r="B191" s="10">
        <v>41883</v>
      </c>
      <c r="C191" s="4">
        <v>31</v>
      </c>
      <c r="D191" s="4">
        <v>46</v>
      </c>
      <c r="E191" s="4">
        <v>6</v>
      </c>
      <c r="F191" s="4">
        <v>38</v>
      </c>
      <c r="G191" s="4">
        <v>4</v>
      </c>
      <c r="H191" s="4">
        <f t="shared" si="2"/>
        <v>125</v>
      </c>
    </row>
    <row r="192" spans="1:8">
      <c r="A192" s="5" t="s">
        <v>33</v>
      </c>
      <c r="B192" s="10">
        <v>41883</v>
      </c>
      <c r="C192" s="4">
        <v>13</v>
      </c>
      <c r="D192" s="4">
        <v>17</v>
      </c>
      <c r="E192" s="4">
        <v>26</v>
      </c>
      <c r="F192" s="4">
        <v>5</v>
      </c>
      <c r="G192" s="4">
        <v>43</v>
      </c>
      <c r="H192" s="4">
        <f t="shared" si="2"/>
        <v>104</v>
      </c>
    </row>
    <row r="193" spans="1:8">
      <c r="A193" s="5" t="s">
        <v>34</v>
      </c>
      <c r="B193" s="10">
        <v>41883</v>
      </c>
      <c r="C193" s="4">
        <v>35</v>
      </c>
      <c r="D193" s="4">
        <v>31</v>
      </c>
      <c r="E193" s="4">
        <v>0</v>
      </c>
      <c r="F193" s="4">
        <v>12</v>
      </c>
      <c r="G193" s="4">
        <v>26</v>
      </c>
      <c r="H193" s="4">
        <f t="shared" si="2"/>
        <v>104</v>
      </c>
    </row>
    <row r="194" spans="1:8">
      <c r="A194" s="5" t="s">
        <v>35</v>
      </c>
      <c r="B194" s="10">
        <v>41883</v>
      </c>
      <c r="C194" s="4">
        <v>1</v>
      </c>
      <c r="D194" s="4">
        <v>29</v>
      </c>
      <c r="E194" s="4">
        <v>1</v>
      </c>
      <c r="F194" s="4">
        <v>40</v>
      </c>
      <c r="G194" s="4">
        <v>20</v>
      </c>
      <c r="H194" s="4">
        <f t="shared" si="2"/>
        <v>91</v>
      </c>
    </row>
    <row r="195" spans="1:8">
      <c r="A195" s="5" t="s">
        <v>36</v>
      </c>
      <c r="B195" s="10">
        <v>41883</v>
      </c>
      <c r="C195" s="4">
        <v>5</v>
      </c>
      <c r="D195" s="4">
        <v>2</v>
      </c>
      <c r="E195" s="4">
        <v>41</v>
      </c>
      <c r="F195" s="4">
        <v>40</v>
      </c>
      <c r="G195" s="4">
        <v>20</v>
      </c>
      <c r="H195" s="4">
        <f t="shared" si="2"/>
        <v>108</v>
      </c>
    </row>
    <row r="196" spans="1:8">
      <c r="A196" s="5" t="s">
        <v>32</v>
      </c>
      <c r="B196" s="10">
        <v>41883</v>
      </c>
      <c r="C196" s="4">
        <v>22</v>
      </c>
      <c r="D196" s="4">
        <v>38</v>
      </c>
      <c r="E196" s="4">
        <v>5</v>
      </c>
      <c r="F196" s="4">
        <v>22</v>
      </c>
      <c r="G196" s="4">
        <v>17</v>
      </c>
      <c r="H196" s="4">
        <f t="shared" ref="H196:H259" si="3">SUM(C196:G196)</f>
        <v>104</v>
      </c>
    </row>
    <row r="197" spans="1:8">
      <c r="A197" s="5" t="s">
        <v>37</v>
      </c>
      <c r="B197" s="10">
        <v>41883</v>
      </c>
      <c r="C197" s="4">
        <v>25</v>
      </c>
      <c r="D197" s="4">
        <v>20</v>
      </c>
      <c r="E197" s="4">
        <v>29</v>
      </c>
      <c r="F197" s="4">
        <v>41</v>
      </c>
      <c r="G197" s="4">
        <v>32</v>
      </c>
      <c r="H197" s="4">
        <f t="shared" si="3"/>
        <v>147</v>
      </c>
    </row>
    <row r="198" spans="1:8">
      <c r="A198" s="5" t="s">
        <v>23</v>
      </c>
      <c r="B198" s="10">
        <v>41852</v>
      </c>
      <c r="C198" s="4">
        <v>44</v>
      </c>
      <c r="D198" s="4">
        <v>44</v>
      </c>
      <c r="E198" s="4">
        <v>19</v>
      </c>
      <c r="F198" s="4">
        <v>10</v>
      </c>
      <c r="G198" s="4">
        <v>18</v>
      </c>
      <c r="H198" s="4">
        <f t="shared" si="3"/>
        <v>135</v>
      </c>
    </row>
    <row r="199" spans="1:8">
      <c r="A199" s="5" t="s">
        <v>24</v>
      </c>
      <c r="B199" s="10">
        <v>41852</v>
      </c>
      <c r="C199" s="4">
        <v>21</v>
      </c>
      <c r="D199" s="4">
        <v>19</v>
      </c>
      <c r="E199" s="4">
        <v>47</v>
      </c>
      <c r="F199" s="4">
        <v>38</v>
      </c>
      <c r="G199" s="4">
        <v>45</v>
      </c>
      <c r="H199" s="4">
        <f t="shared" si="3"/>
        <v>170</v>
      </c>
    </row>
    <row r="200" spans="1:8">
      <c r="A200" s="5" t="s">
        <v>25</v>
      </c>
      <c r="B200" s="10">
        <v>41852</v>
      </c>
      <c r="C200" s="4">
        <v>42</v>
      </c>
      <c r="D200" s="4">
        <v>45</v>
      </c>
      <c r="E200" s="4">
        <v>1</v>
      </c>
      <c r="F200" s="4">
        <v>24</v>
      </c>
      <c r="G200" s="4">
        <v>22</v>
      </c>
      <c r="H200" s="4">
        <f t="shared" si="3"/>
        <v>134</v>
      </c>
    </row>
    <row r="201" spans="1:8">
      <c r="A201" s="5" t="s">
        <v>26</v>
      </c>
      <c r="B201" s="10">
        <v>41852</v>
      </c>
      <c r="C201" s="4">
        <v>15</v>
      </c>
      <c r="D201" s="4">
        <v>2</v>
      </c>
      <c r="E201" s="4">
        <v>40</v>
      </c>
      <c r="F201" s="4">
        <v>2</v>
      </c>
      <c r="G201" s="4">
        <v>5</v>
      </c>
      <c r="H201" s="4">
        <f t="shared" si="3"/>
        <v>64</v>
      </c>
    </row>
    <row r="202" spans="1:8">
      <c r="A202" s="5" t="s">
        <v>27</v>
      </c>
      <c r="B202" s="10">
        <v>41852</v>
      </c>
      <c r="C202" s="4">
        <v>18</v>
      </c>
      <c r="D202" s="4">
        <v>0</v>
      </c>
      <c r="E202" s="4">
        <v>11</v>
      </c>
      <c r="F202" s="4">
        <v>37</v>
      </c>
      <c r="G202" s="4">
        <v>8</v>
      </c>
      <c r="H202" s="4">
        <f t="shared" si="3"/>
        <v>74</v>
      </c>
    </row>
    <row r="203" spans="1:8">
      <c r="A203" s="5" t="s">
        <v>28</v>
      </c>
      <c r="B203" s="10">
        <v>41852</v>
      </c>
      <c r="C203" s="4">
        <v>10</v>
      </c>
      <c r="D203" s="4">
        <v>2</v>
      </c>
      <c r="E203" s="4">
        <v>2</v>
      </c>
      <c r="F203" s="4">
        <v>10</v>
      </c>
      <c r="G203" s="4">
        <v>5</v>
      </c>
      <c r="H203" s="4">
        <f t="shared" si="3"/>
        <v>29</v>
      </c>
    </row>
    <row r="204" spans="1:8">
      <c r="A204" s="5" t="s">
        <v>29</v>
      </c>
      <c r="B204" s="10">
        <v>41852</v>
      </c>
      <c r="C204" s="4">
        <v>14</v>
      </c>
      <c r="D204" s="4">
        <v>49</v>
      </c>
      <c r="E204" s="4">
        <v>38</v>
      </c>
      <c r="F204" s="4">
        <v>44</v>
      </c>
      <c r="G204" s="4">
        <v>32</v>
      </c>
      <c r="H204" s="4">
        <f t="shared" si="3"/>
        <v>177</v>
      </c>
    </row>
    <row r="205" spans="1:8">
      <c r="A205" s="5" t="s">
        <v>30</v>
      </c>
      <c r="B205" s="10">
        <v>41852</v>
      </c>
      <c r="C205" s="4">
        <v>8</v>
      </c>
      <c r="D205" s="4">
        <v>20</v>
      </c>
      <c r="E205" s="4">
        <v>17</v>
      </c>
      <c r="F205" s="4">
        <v>26</v>
      </c>
      <c r="G205" s="4">
        <v>43</v>
      </c>
      <c r="H205" s="4">
        <f t="shared" si="3"/>
        <v>114</v>
      </c>
    </row>
    <row r="206" spans="1:8">
      <c r="A206" s="5" t="s">
        <v>31</v>
      </c>
      <c r="B206" s="10">
        <v>41852</v>
      </c>
      <c r="C206" s="4">
        <v>3</v>
      </c>
      <c r="D206" s="4">
        <v>49</v>
      </c>
      <c r="E206" s="4">
        <v>35</v>
      </c>
      <c r="F206" s="4">
        <v>19</v>
      </c>
      <c r="G206" s="4">
        <v>48</v>
      </c>
      <c r="H206" s="4">
        <f t="shared" si="3"/>
        <v>154</v>
      </c>
    </row>
    <row r="207" spans="1:8">
      <c r="A207" s="5" t="s">
        <v>33</v>
      </c>
      <c r="B207" s="10">
        <v>41852</v>
      </c>
      <c r="C207" s="4">
        <v>29</v>
      </c>
      <c r="D207" s="4">
        <v>48</v>
      </c>
      <c r="E207" s="4">
        <v>6</v>
      </c>
      <c r="F207" s="4">
        <v>49</v>
      </c>
      <c r="G207" s="4">
        <v>20</v>
      </c>
      <c r="H207" s="4">
        <f t="shared" si="3"/>
        <v>152</v>
      </c>
    </row>
    <row r="208" spans="1:8">
      <c r="A208" s="5" t="s">
        <v>34</v>
      </c>
      <c r="B208" s="10">
        <v>41852</v>
      </c>
      <c r="C208" s="4">
        <v>13</v>
      </c>
      <c r="D208" s="4">
        <v>9</v>
      </c>
      <c r="E208" s="4">
        <v>22</v>
      </c>
      <c r="F208" s="4">
        <v>31</v>
      </c>
      <c r="G208" s="4">
        <v>48</v>
      </c>
      <c r="H208" s="4">
        <f t="shared" si="3"/>
        <v>123</v>
      </c>
    </row>
    <row r="209" spans="1:8">
      <c r="A209" s="5" t="s">
        <v>35</v>
      </c>
      <c r="B209" s="10">
        <v>41852</v>
      </c>
      <c r="C209" s="4">
        <v>14</v>
      </c>
      <c r="D209" s="4">
        <v>22</v>
      </c>
      <c r="E209" s="4">
        <v>11</v>
      </c>
      <c r="F209" s="4">
        <v>24</v>
      </c>
      <c r="G209" s="4">
        <v>37</v>
      </c>
      <c r="H209" s="4">
        <f t="shared" si="3"/>
        <v>108</v>
      </c>
    </row>
    <row r="210" spans="1:8">
      <c r="A210" s="5" t="s">
        <v>36</v>
      </c>
      <c r="B210" s="10">
        <v>41852</v>
      </c>
      <c r="C210" s="4">
        <v>12</v>
      </c>
      <c r="D210" s="4">
        <v>29</v>
      </c>
      <c r="E210" s="4">
        <v>1</v>
      </c>
      <c r="F210" s="4">
        <v>3</v>
      </c>
      <c r="G210" s="4">
        <v>8</v>
      </c>
      <c r="H210" s="4">
        <f t="shared" si="3"/>
        <v>53</v>
      </c>
    </row>
    <row r="211" spans="1:8">
      <c r="A211" s="5" t="s">
        <v>32</v>
      </c>
      <c r="B211" s="10">
        <v>41852</v>
      </c>
      <c r="C211" s="4">
        <v>45</v>
      </c>
      <c r="D211" s="4">
        <v>14</v>
      </c>
      <c r="E211" s="4">
        <v>16</v>
      </c>
      <c r="F211" s="4">
        <v>10</v>
      </c>
      <c r="G211" s="4">
        <v>15</v>
      </c>
      <c r="H211" s="4">
        <f t="shared" si="3"/>
        <v>100</v>
      </c>
    </row>
    <row r="212" spans="1:8">
      <c r="A212" s="5" t="s">
        <v>37</v>
      </c>
      <c r="B212" s="10">
        <v>41852</v>
      </c>
      <c r="C212" s="4">
        <v>24</v>
      </c>
      <c r="D212" s="4">
        <v>37</v>
      </c>
      <c r="E212" s="4">
        <v>9</v>
      </c>
      <c r="F212" s="4">
        <v>3</v>
      </c>
      <c r="G212" s="4">
        <v>45</v>
      </c>
      <c r="H212" s="4">
        <f t="shared" si="3"/>
        <v>118</v>
      </c>
    </row>
    <row r="213" spans="1:8">
      <c r="A213" s="5" t="s">
        <v>23</v>
      </c>
      <c r="B213" s="10">
        <v>41821</v>
      </c>
      <c r="C213" s="4">
        <v>40</v>
      </c>
      <c r="D213" s="4">
        <v>12</v>
      </c>
      <c r="E213" s="4">
        <v>2</v>
      </c>
      <c r="F213" s="4">
        <v>23</v>
      </c>
      <c r="G213" s="4">
        <v>25</v>
      </c>
      <c r="H213" s="4">
        <f t="shared" si="3"/>
        <v>102</v>
      </c>
    </row>
    <row r="214" spans="1:8">
      <c r="A214" s="5" t="s">
        <v>24</v>
      </c>
      <c r="B214" s="10">
        <v>41821</v>
      </c>
      <c r="C214" s="4">
        <v>20</v>
      </c>
      <c r="D214" s="4">
        <v>21</v>
      </c>
      <c r="E214" s="4">
        <v>16</v>
      </c>
      <c r="F214" s="4">
        <v>1</v>
      </c>
      <c r="G214" s="4">
        <v>44</v>
      </c>
      <c r="H214" s="4">
        <f t="shared" si="3"/>
        <v>102</v>
      </c>
    </row>
    <row r="215" spans="1:8">
      <c r="A215" s="5" t="s">
        <v>25</v>
      </c>
      <c r="B215" s="10">
        <v>41821</v>
      </c>
      <c r="C215" s="4">
        <v>27</v>
      </c>
      <c r="D215" s="4">
        <v>19</v>
      </c>
      <c r="E215" s="4">
        <v>6</v>
      </c>
      <c r="F215" s="4">
        <v>46</v>
      </c>
      <c r="G215" s="4">
        <v>13</v>
      </c>
      <c r="H215" s="4">
        <f t="shared" si="3"/>
        <v>111</v>
      </c>
    </row>
    <row r="216" spans="1:8">
      <c r="A216" s="5" t="s">
        <v>26</v>
      </c>
      <c r="B216" s="10">
        <v>41821</v>
      </c>
      <c r="C216" s="4">
        <v>43</v>
      </c>
      <c r="D216" s="4">
        <v>24</v>
      </c>
      <c r="E216" s="4">
        <v>7</v>
      </c>
      <c r="F216" s="4">
        <v>40</v>
      </c>
      <c r="G216" s="4">
        <v>11</v>
      </c>
      <c r="H216" s="4">
        <f t="shared" si="3"/>
        <v>125</v>
      </c>
    </row>
    <row r="217" spans="1:8">
      <c r="A217" s="5" t="s">
        <v>27</v>
      </c>
      <c r="B217" s="10">
        <v>41821</v>
      </c>
      <c r="C217" s="4">
        <v>42</v>
      </c>
      <c r="D217" s="4">
        <v>2</v>
      </c>
      <c r="E217" s="4">
        <v>15</v>
      </c>
      <c r="F217" s="4">
        <v>46</v>
      </c>
      <c r="G217" s="4">
        <v>6</v>
      </c>
      <c r="H217" s="4">
        <f t="shared" si="3"/>
        <v>111</v>
      </c>
    </row>
    <row r="218" spans="1:8">
      <c r="A218" s="5" t="s">
        <v>28</v>
      </c>
      <c r="B218" s="10">
        <v>41821</v>
      </c>
      <c r="C218" s="4">
        <v>36</v>
      </c>
      <c r="D218" s="4">
        <v>31</v>
      </c>
      <c r="E218" s="4">
        <v>9</v>
      </c>
      <c r="F218" s="4">
        <v>33</v>
      </c>
      <c r="G218" s="4">
        <v>30</v>
      </c>
      <c r="H218" s="4">
        <f t="shared" si="3"/>
        <v>139</v>
      </c>
    </row>
    <row r="219" spans="1:8">
      <c r="A219" s="5" t="s">
        <v>29</v>
      </c>
      <c r="B219" s="10">
        <v>41821</v>
      </c>
      <c r="C219" s="4">
        <v>42</v>
      </c>
      <c r="D219" s="4">
        <v>35</v>
      </c>
      <c r="E219" s="4">
        <v>48</v>
      </c>
      <c r="F219" s="4">
        <v>25</v>
      </c>
      <c r="G219" s="4">
        <v>4</v>
      </c>
      <c r="H219" s="4">
        <f t="shared" si="3"/>
        <v>154</v>
      </c>
    </row>
    <row r="220" spans="1:8">
      <c r="A220" s="5" t="s">
        <v>30</v>
      </c>
      <c r="B220" s="10">
        <v>41821</v>
      </c>
      <c r="C220" s="4">
        <v>14</v>
      </c>
      <c r="D220" s="4">
        <v>8</v>
      </c>
      <c r="E220" s="4">
        <v>30</v>
      </c>
      <c r="F220" s="4">
        <v>31</v>
      </c>
      <c r="G220" s="4">
        <v>2</v>
      </c>
      <c r="H220" s="4">
        <f t="shared" si="3"/>
        <v>85</v>
      </c>
    </row>
    <row r="221" spans="1:8">
      <c r="A221" s="5" t="s">
        <v>31</v>
      </c>
      <c r="B221" s="10">
        <v>41821</v>
      </c>
      <c r="C221" s="4">
        <v>16</v>
      </c>
      <c r="D221" s="4">
        <v>11</v>
      </c>
      <c r="E221" s="4">
        <v>39</v>
      </c>
      <c r="F221" s="4">
        <v>23</v>
      </c>
      <c r="G221" s="4">
        <v>46</v>
      </c>
      <c r="H221" s="4">
        <f t="shared" si="3"/>
        <v>135</v>
      </c>
    </row>
    <row r="222" spans="1:8">
      <c r="A222" s="5" t="s">
        <v>33</v>
      </c>
      <c r="B222" s="10">
        <v>41821</v>
      </c>
      <c r="C222" s="4">
        <v>21</v>
      </c>
      <c r="D222" s="4">
        <v>20</v>
      </c>
      <c r="E222" s="4">
        <v>41</v>
      </c>
      <c r="F222" s="4">
        <v>37</v>
      </c>
      <c r="G222" s="4">
        <v>16</v>
      </c>
      <c r="H222" s="4">
        <f t="shared" si="3"/>
        <v>135</v>
      </c>
    </row>
    <row r="223" spans="1:8">
      <c r="A223" s="5" t="s">
        <v>34</v>
      </c>
      <c r="B223" s="10">
        <v>41821</v>
      </c>
      <c r="C223" s="4">
        <v>32</v>
      </c>
      <c r="D223" s="4">
        <v>31</v>
      </c>
      <c r="E223" s="4">
        <v>42</v>
      </c>
      <c r="F223" s="4">
        <v>1</v>
      </c>
      <c r="G223" s="4">
        <v>31</v>
      </c>
      <c r="H223" s="4">
        <f t="shared" si="3"/>
        <v>137</v>
      </c>
    </row>
    <row r="224" spans="1:8">
      <c r="A224" s="5" t="s">
        <v>35</v>
      </c>
      <c r="B224" s="10">
        <v>41821</v>
      </c>
      <c r="C224" s="4">
        <v>25</v>
      </c>
      <c r="D224" s="4">
        <v>4</v>
      </c>
      <c r="E224" s="4">
        <v>28</v>
      </c>
      <c r="F224" s="4">
        <v>44</v>
      </c>
      <c r="G224" s="4">
        <v>0</v>
      </c>
      <c r="H224" s="4">
        <f t="shared" si="3"/>
        <v>101</v>
      </c>
    </row>
    <row r="225" spans="1:8">
      <c r="A225" s="5" t="s">
        <v>36</v>
      </c>
      <c r="B225" s="10">
        <v>41821</v>
      </c>
      <c r="C225" s="4">
        <v>48</v>
      </c>
      <c r="D225" s="4">
        <v>21</v>
      </c>
      <c r="E225" s="4">
        <v>47</v>
      </c>
      <c r="F225" s="4">
        <v>24</v>
      </c>
      <c r="G225" s="4">
        <v>49</v>
      </c>
      <c r="H225" s="4">
        <f t="shared" si="3"/>
        <v>189</v>
      </c>
    </row>
    <row r="226" spans="1:8">
      <c r="A226" s="5" t="s">
        <v>32</v>
      </c>
      <c r="B226" s="10">
        <v>41821</v>
      </c>
      <c r="C226" s="4">
        <v>17</v>
      </c>
      <c r="D226" s="4">
        <v>41</v>
      </c>
      <c r="E226" s="4">
        <v>0</v>
      </c>
      <c r="F226" s="4">
        <v>38</v>
      </c>
      <c r="G226" s="4">
        <v>40</v>
      </c>
      <c r="H226" s="4">
        <f t="shared" si="3"/>
        <v>136</v>
      </c>
    </row>
    <row r="227" spans="1:8">
      <c r="A227" s="5" t="s">
        <v>37</v>
      </c>
      <c r="B227" s="10">
        <v>41821</v>
      </c>
      <c r="C227" s="4">
        <v>38</v>
      </c>
      <c r="D227" s="4">
        <v>31</v>
      </c>
      <c r="E227" s="4">
        <v>24</v>
      </c>
      <c r="F227" s="4">
        <v>8</v>
      </c>
      <c r="G227" s="4">
        <v>4</v>
      </c>
      <c r="H227" s="4">
        <f t="shared" si="3"/>
        <v>105</v>
      </c>
    </row>
    <row r="228" spans="1:8">
      <c r="A228" s="5" t="s">
        <v>23</v>
      </c>
      <c r="B228" s="10">
        <v>41791</v>
      </c>
      <c r="C228" s="4">
        <v>5</v>
      </c>
      <c r="D228" s="4">
        <v>20</v>
      </c>
      <c r="E228" s="4">
        <v>6</v>
      </c>
      <c r="F228" s="4">
        <v>28</v>
      </c>
      <c r="G228" s="4">
        <v>48</v>
      </c>
      <c r="H228" s="4">
        <f t="shared" si="3"/>
        <v>107</v>
      </c>
    </row>
    <row r="229" spans="1:8">
      <c r="A229" s="5" t="s">
        <v>24</v>
      </c>
      <c r="B229" s="10">
        <v>41792</v>
      </c>
      <c r="C229" s="4">
        <v>48</v>
      </c>
      <c r="D229" s="4">
        <v>46</v>
      </c>
      <c r="E229" s="4">
        <v>4</v>
      </c>
      <c r="F229" s="4">
        <v>12</v>
      </c>
      <c r="G229" s="4">
        <v>37</v>
      </c>
      <c r="H229" s="4">
        <f t="shared" si="3"/>
        <v>147</v>
      </c>
    </row>
    <row r="230" spans="1:8">
      <c r="A230" s="5" t="s">
        <v>25</v>
      </c>
      <c r="B230" s="10">
        <v>41793</v>
      </c>
      <c r="C230" s="4">
        <v>35</v>
      </c>
      <c r="D230" s="4">
        <v>10</v>
      </c>
      <c r="E230" s="4">
        <v>47</v>
      </c>
      <c r="F230" s="4">
        <v>38</v>
      </c>
      <c r="G230" s="4">
        <v>9</v>
      </c>
      <c r="H230" s="4">
        <f t="shared" si="3"/>
        <v>139</v>
      </c>
    </row>
    <row r="231" spans="1:8">
      <c r="A231" s="5" t="s">
        <v>26</v>
      </c>
      <c r="B231" s="10">
        <v>41794</v>
      </c>
      <c r="C231" s="4">
        <v>15</v>
      </c>
      <c r="D231" s="4">
        <v>23</v>
      </c>
      <c r="E231" s="4">
        <v>27</v>
      </c>
      <c r="F231" s="4">
        <v>45</v>
      </c>
      <c r="G231" s="4">
        <v>12</v>
      </c>
      <c r="H231" s="4">
        <f t="shared" si="3"/>
        <v>122</v>
      </c>
    </row>
    <row r="232" spans="1:8">
      <c r="A232" s="5" t="s">
        <v>27</v>
      </c>
      <c r="B232" s="10">
        <v>41795</v>
      </c>
      <c r="C232" s="4">
        <v>45</v>
      </c>
      <c r="D232" s="4">
        <v>37</v>
      </c>
      <c r="E232" s="4">
        <v>10</v>
      </c>
      <c r="F232" s="4">
        <v>9</v>
      </c>
      <c r="G232" s="4">
        <v>10</v>
      </c>
      <c r="H232" s="4">
        <f t="shared" si="3"/>
        <v>111</v>
      </c>
    </row>
    <row r="233" spans="1:8">
      <c r="A233" s="5" t="s">
        <v>28</v>
      </c>
      <c r="B233" s="10">
        <v>41796</v>
      </c>
      <c r="C233" s="4">
        <v>13</v>
      </c>
      <c r="D233" s="4">
        <v>22</v>
      </c>
      <c r="E233" s="4">
        <v>32</v>
      </c>
      <c r="F233" s="4">
        <v>22</v>
      </c>
      <c r="G233" s="4">
        <v>43</v>
      </c>
      <c r="H233" s="4">
        <f t="shared" si="3"/>
        <v>132</v>
      </c>
    </row>
    <row r="234" spans="1:8">
      <c r="A234" s="5" t="s">
        <v>29</v>
      </c>
      <c r="B234" s="10">
        <v>41797</v>
      </c>
      <c r="C234" s="4">
        <v>26</v>
      </c>
      <c r="D234" s="4">
        <v>12</v>
      </c>
      <c r="E234" s="4">
        <v>14</v>
      </c>
      <c r="F234" s="4">
        <v>34</v>
      </c>
      <c r="G234" s="4">
        <v>17</v>
      </c>
      <c r="H234" s="4">
        <f t="shared" si="3"/>
        <v>103</v>
      </c>
    </row>
    <row r="235" spans="1:8">
      <c r="A235" s="5" t="s">
        <v>30</v>
      </c>
      <c r="B235" s="10">
        <v>41798</v>
      </c>
      <c r="C235" s="4">
        <v>11</v>
      </c>
      <c r="D235" s="4">
        <v>45</v>
      </c>
      <c r="E235" s="4">
        <v>14</v>
      </c>
      <c r="F235" s="4">
        <v>31</v>
      </c>
      <c r="G235" s="4">
        <v>2</v>
      </c>
      <c r="H235" s="4">
        <f t="shared" si="3"/>
        <v>103</v>
      </c>
    </row>
    <row r="236" spans="1:8">
      <c r="A236" s="5" t="s">
        <v>31</v>
      </c>
      <c r="B236" s="10">
        <v>41799</v>
      </c>
      <c r="C236" s="4">
        <v>10</v>
      </c>
      <c r="D236" s="4">
        <v>8</v>
      </c>
      <c r="E236" s="4">
        <v>10</v>
      </c>
      <c r="F236" s="4">
        <v>35</v>
      </c>
      <c r="G236" s="4">
        <v>8</v>
      </c>
      <c r="H236" s="4">
        <f t="shared" si="3"/>
        <v>71</v>
      </c>
    </row>
    <row r="237" spans="1:8">
      <c r="A237" s="5" t="s">
        <v>33</v>
      </c>
      <c r="B237" s="10">
        <v>41800</v>
      </c>
      <c r="C237" s="4">
        <v>18</v>
      </c>
      <c r="D237" s="4">
        <v>11</v>
      </c>
      <c r="E237" s="4">
        <v>46</v>
      </c>
      <c r="F237" s="4">
        <v>12</v>
      </c>
      <c r="G237" s="4">
        <v>35</v>
      </c>
      <c r="H237" s="4">
        <f t="shared" si="3"/>
        <v>122</v>
      </c>
    </row>
    <row r="238" spans="1:8">
      <c r="A238" s="5" t="s">
        <v>34</v>
      </c>
      <c r="B238" s="10">
        <v>41801</v>
      </c>
      <c r="C238" s="4">
        <v>2</v>
      </c>
      <c r="D238" s="4">
        <v>28</v>
      </c>
      <c r="E238" s="4">
        <v>43</v>
      </c>
      <c r="F238" s="4">
        <v>13</v>
      </c>
      <c r="G238" s="4">
        <v>5</v>
      </c>
      <c r="H238" s="4">
        <f t="shared" si="3"/>
        <v>91</v>
      </c>
    </row>
    <row r="239" spans="1:8">
      <c r="A239" s="5" t="s">
        <v>35</v>
      </c>
      <c r="B239" s="10">
        <v>41802</v>
      </c>
      <c r="C239" s="4">
        <v>7</v>
      </c>
      <c r="D239" s="4">
        <v>49</v>
      </c>
      <c r="E239" s="4">
        <v>7</v>
      </c>
      <c r="F239" s="4">
        <v>34</v>
      </c>
      <c r="G239" s="4">
        <v>13</v>
      </c>
      <c r="H239" s="4">
        <f t="shared" si="3"/>
        <v>110</v>
      </c>
    </row>
    <row r="240" spans="1:8">
      <c r="A240" s="5" t="s">
        <v>36</v>
      </c>
      <c r="B240" s="10">
        <v>41803</v>
      </c>
      <c r="C240" s="4">
        <v>8</v>
      </c>
      <c r="D240" s="4">
        <v>34</v>
      </c>
      <c r="E240" s="4">
        <v>46</v>
      </c>
      <c r="F240" s="4">
        <v>2</v>
      </c>
      <c r="G240" s="4">
        <v>19</v>
      </c>
      <c r="H240" s="4">
        <f t="shared" si="3"/>
        <v>109</v>
      </c>
    </row>
    <row r="241" spans="1:8">
      <c r="A241" s="5" t="s">
        <v>32</v>
      </c>
      <c r="B241" s="10">
        <v>41804</v>
      </c>
      <c r="C241" s="4">
        <v>17</v>
      </c>
      <c r="D241" s="4">
        <v>12</v>
      </c>
      <c r="E241" s="4">
        <v>7</v>
      </c>
      <c r="F241" s="4">
        <v>36</v>
      </c>
      <c r="G241" s="4">
        <v>23</v>
      </c>
      <c r="H241" s="4">
        <f t="shared" si="3"/>
        <v>95</v>
      </c>
    </row>
    <row r="242" spans="1:8">
      <c r="A242" s="5" t="s">
        <v>37</v>
      </c>
      <c r="B242" s="10">
        <v>41805</v>
      </c>
      <c r="C242" s="4">
        <v>42</v>
      </c>
      <c r="D242" s="4">
        <v>36</v>
      </c>
      <c r="E242" s="4">
        <v>30</v>
      </c>
      <c r="F242" s="4">
        <v>15</v>
      </c>
      <c r="G242" s="4">
        <v>12</v>
      </c>
      <c r="H242" s="4">
        <f t="shared" si="3"/>
        <v>135</v>
      </c>
    </row>
    <row r="243" spans="1:8">
      <c r="A243" s="5" t="s">
        <v>23</v>
      </c>
      <c r="B243" s="10">
        <v>41760</v>
      </c>
      <c r="C243" s="4">
        <v>16</v>
      </c>
      <c r="D243" s="4">
        <v>47</v>
      </c>
      <c r="E243" s="4">
        <v>44</v>
      </c>
      <c r="F243" s="4">
        <v>40</v>
      </c>
      <c r="G243" s="4">
        <v>2</v>
      </c>
      <c r="H243" s="4">
        <f t="shared" si="3"/>
        <v>149</v>
      </c>
    </row>
    <row r="244" spans="1:8">
      <c r="A244" s="5" t="s">
        <v>24</v>
      </c>
      <c r="B244" s="10">
        <v>41760</v>
      </c>
      <c r="C244" s="4">
        <v>31</v>
      </c>
      <c r="D244" s="4">
        <v>46</v>
      </c>
      <c r="E244" s="4">
        <v>38</v>
      </c>
      <c r="F244" s="4">
        <v>24</v>
      </c>
      <c r="G244" s="4">
        <v>13</v>
      </c>
      <c r="H244" s="4">
        <f t="shared" si="3"/>
        <v>152</v>
      </c>
    </row>
    <row r="245" spans="1:8">
      <c r="A245" s="5" t="s">
        <v>25</v>
      </c>
      <c r="B245" s="10">
        <v>41760</v>
      </c>
      <c r="C245" s="4">
        <v>36</v>
      </c>
      <c r="D245" s="4">
        <v>1</v>
      </c>
      <c r="E245" s="4">
        <v>19</v>
      </c>
      <c r="F245" s="4">
        <v>35</v>
      </c>
      <c r="G245" s="4">
        <v>4</v>
      </c>
      <c r="H245" s="4">
        <f t="shared" si="3"/>
        <v>95</v>
      </c>
    </row>
    <row r="246" spans="1:8">
      <c r="A246" s="5" t="s">
        <v>26</v>
      </c>
      <c r="B246" s="10">
        <v>41760</v>
      </c>
      <c r="C246" s="4">
        <v>35</v>
      </c>
      <c r="D246" s="4">
        <v>20</v>
      </c>
      <c r="E246" s="4">
        <v>28</v>
      </c>
      <c r="F246" s="4">
        <v>9</v>
      </c>
      <c r="G246" s="4">
        <v>29</v>
      </c>
      <c r="H246" s="4">
        <f t="shared" si="3"/>
        <v>121</v>
      </c>
    </row>
    <row r="247" spans="1:8">
      <c r="A247" s="5" t="s">
        <v>27</v>
      </c>
      <c r="B247" s="10">
        <v>41760</v>
      </c>
      <c r="C247" s="4">
        <v>42</v>
      </c>
      <c r="D247" s="4">
        <v>41</v>
      </c>
      <c r="E247" s="4">
        <v>26</v>
      </c>
      <c r="F247" s="4">
        <v>20</v>
      </c>
      <c r="G247" s="4">
        <v>27</v>
      </c>
      <c r="H247" s="4">
        <f t="shared" si="3"/>
        <v>156</v>
      </c>
    </row>
    <row r="248" spans="1:8">
      <c r="A248" s="5" t="s">
        <v>28</v>
      </c>
      <c r="B248" s="10">
        <v>41760</v>
      </c>
      <c r="C248" s="4">
        <v>15</v>
      </c>
      <c r="D248" s="4">
        <v>36</v>
      </c>
      <c r="E248" s="4">
        <v>7</v>
      </c>
      <c r="F248" s="4">
        <v>39</v>
      </c>
      <c r="G248" s="4">
        <v>4</v>
      </c>
      <c r="H248" s="4">
        <f t="shared" si="3"/>
        <v>101</v>
      </c>
    </row>
    <row r="249" spans="1:8">
      <c r="A249" s="5" t="s">
        <v>29</v>
      </c>
      <c r="B249" s="10">
        <v>41760</v>
      </c>
      <c r="C249" s="4">
        <v>26</v>
      </c>
      <c r="D249" s="4">
        <v>38</v>
      </c>
      <c r="E249" s="4">
        <v>32</v>
      </c>
      <c r="F249" s="4">
        <v>27</v>
      </c>
      <c r="G249" s="4">
        <v>0</v>
      </c>
      <c r="H249" s="4">
        <f t="shared" si="3"/>
        <v>123</v>
      </c>
    </row>
    <row r="250" spans="1:8">
      <c r="A250" s="5" t="s">
        <v>30</v>
      </c>
      <c r="B250" s="10">
        <v>41760</v>
      </c>
      <c r="C250" s="4">
        <v>5</v>
      </c>
      <c r="D250" s="4">
        <v>46</v>
      </c>
      <c r="E250" s="4">
        <v>26</v>
      </c>
      <c r="F250" s="4">
        <v>37</v>
      </c>
      <c r="G250" s="4">
        <v>4</v>
      </c>
      <c r="H250" s="4">
        <f t="shared" si="3"/>
        <v>118</v>
      </c>
    </row>
    <row r="251" spans="1:8">
      <c r="A251" s="5" t="s">
        <v>31</v>
      </c>
      <c r="B251" s="10">
        <v>41760</v>
      </c>
      <c r="C251" s="4">
        <v>42</v>
      </c>
      <c r="D251" s="4">
        <v>0</v>
      </c>
      <c r="E251" s="4">
        <v>13</v>
      </c>
      <c r="F251" s="4">
        <v>18</v>
      </c>
      <c r="G251" s="4">
        <v>47</v>
      </c>
      <c r="H251" s="4">
        <f t="shared" si="3"/>
        <v>120</v>
      </c>
    </row>
    <row r="252" spans="1:8">
      <c r="A252" s="5" t="s">
        <v>33</v>
      </c>
      <c r="B252" s="10">
        <v>41760</v>
      </c>
      <c r="C252" s="4">
        <v>16</v>
      </c>
      <c r="D252" s="4">
        <v>16</v>
      </c>
      <c r="E252" s="4">
        <v>4</v>
      </c>
      <c r="F252" s="4">
        <v>36</v>
      </c>
      <c r="G252" s="4">
        <v>24</v>
      </c>
      <c r="H252" s="4">
        <f t="shared" si="3"/>
        <v>96</v>
      </c>
    </row>
    <row r="253" spans="1:8">
      <c r="A253" s="5" t="s">
        <v>34</v>
      </c>
      <c r="B253" s="10">
        <v>41760</v>
      </c>
      <c r="C253" s="4">
        <v>1</v>
      </c>
      <c r="D253" s="4">
        <v>10</v>
      </c>
      <c r="E253" s="4">
        <v>27</v>
      </c>
      <c r="F253" s="4">
        <v>44</v>
      </c>
      <c r="G253" s="4">
        <v>34</v>
      </c>
      <c r="H253" s="4">
        <f t="shared" si="3"/>
        <v>116</v>
      </c>
    </row>
    <row r="254" spans="1:8">
      <c r="A254" s="5" t="s">
        <v>35</v>
      </c>
      <c r="B254" s="10">
        <v>41760</v>
      </c>
      <c r="C254" s="4">
        <v>6</v>
      </c>
      <c r="D254" s="4">
        <v>48</v>
      </c>
      <c r="E254" s="4">
        <v>43</v>
      </c>
      <c r="F254" s="4">
        <v>0</v>
      </c>
      <c r="G254" s="4">
        <v>35</v>
      </c>
      <c r="H254" s="4">
        <f t="shared" si="3"/>
        <v>132</v>
      </c>
    </row>
    <row r="255" spans="1:8">
      <c r="A255" s="5" t="s">
        <v>36</v>
      </c>
      <c r="B255" s="10">
        <v>41760</v>
      </c>
      <c r="C255" s="4">
        <v>23</v>
      </c>
      <c r="D255" s="4">
        <v>38</v>
      </c>
      <c r="E255" s="4">
        <v>33</v>
      </c>
      <c r="F255" s="4">
        <v>21</v>
      </c>
      <c r="G255" s="4">
        <v>23</v>
      </c>
      <c r="H255" s="4">
        <f t="shared" si="3"/>
        <v>138</v>
      </c>
    </row>
    <row r="256" spans="1:8">
      <c r="A256" s="5" t="s">
        <v>32</v>
      </c>
      <c r="B256" s="10">
        <v>41760</v>
      </c>
      <c r="C256" s="4">
        <v>49</v>
      </c>
      <c r="D256" s="4">
        <v>32</v>
      </c>
      <c r="E256" s="4">
        <v>5</v>
      </c>
      <c r="F256" s="4">
        <v>46</v>
      </c>
      <c r="G256" s="4">
        <v>31</v>
      </c>
      <c r="H256" s="4">
        <f t="shared" si="3"/>
        <v>163</v>
      </c>
    </row>
    <row r="257" spans="1:8">
      <c r="A257" s="5" t="s">
        <v>37</v>
      </c>
      <c r="B257" s="10">
        <v>41760</v>
      </c>
      <c r="C257" s="4">
        <v>39</v>
      </c>
      <c r="D257" s="4">
        <v>9</v>
      </c>
      <c r="E257" s="4">
        <v>47</v>
      </c>
      <c r="F257" s="4">
        <v>29</v>
      </c>
      <c r="G257" s="4">
        <v>6</v>
      </c>
      <c r="H257" s="4">
        <f t="shared" si="3"/>
        <v>130</v>
      </c>
    </row>
    <row r="258" spans="1:8">
      <c r="A258" s="5" t="s">
        <v>23</v>
      </c>
      <c r="B258" s="10">
        <v>41730</v>
      </c>
      <c r="C258" s="4">
        <v>33</v>
      </c>
      <c r="D258" s="4">
        <v>16</v>
      </c>
      <c r="E258" s="4">
        <v>44</v>
      </c>
      <c r="F258" s="4">
        <v>39</v>
      </c>
      <c r="G258" s="4">
        <v>21</v>
      </c>
      <c r="H258" s="4">
        <f t="shared" si="3"/>
        <v>153</v>
      </c>
    </row>
    <row r="259" spans="1:8">
      <c r="A259" s="5" t="s">
        <v>24</v>
      </c>
      <c r="B259" s="10">
        <v>41730</v>
      </c>
      <c r="C259" s="4">
        <v>37</v>
      </c>
      <c r="D259" s="4">
        <v>10</v>
      </c>
      <c r="E259" s="4">
        <v>16</v>
      </c>
      <c r="F259" s="4">
        <v>31</v>
      </c>
      <c r="G259" s="4">
        <v>44</v>
      </c>
      <c r="H259" s="4">
        <f t="shared" si="3"/>
        <v>138</v>
      </c>
    </row>
    <row r="260" spans="1:8">
      <c r="A260" s="5" t="s">
        <v>25</v>
      </c>
      <c r="B260" s="10">
        <v>41730</v>
      </c>
      <c r="C260" s="4">
        <v>8</v>
      </c>
      <c r="D260" s="4">
        <v>16</v>
      </c>
      <c r="E260" s="4">
        <v>3</v>
      </c>
      <c r="F260" s="4">
        <v>32</v>
      </c>
      <c r="G260" s="4">
        <v>48</v>
      </c>
      <c r="H260" s="4">
        <f t="shared" ref="H260:H317" si="4">SUM(C260:G260)</f>
        <v>107</v>
      </c>
    </row>
    <row r="261" spans="1:8">
      <c r="A261" s="5" t="s">
        <v>26</v>
      </c>
      <c r="B261" s="10">
        <v>41730</v>
      </c>
      <c r="C261" s="4">
        <v>29</v>
      </c>
      <c r="D261" s="4">
        <v>16</v>
      </c>
      <c r="E261" s="4">
        <v>6</v>
      </c>
      <c r="F261" s="4">
        <v>17</v>
      </c>
      <c r="G261" s="4">
        <v>17</v>
      </c>
      <c r="H261" s="4">
        <f t="shared" si="4"/>
        <v>85</v>
      </c>
    </row>
    <row r="262" spans="1:8">
      <c r="A262" s="5" t="s">
        <v>27</v>
      </c>
      <c r="B262" s="10">
        <v>41730</v>
      </c>
      <c r="C262" s="4">
        <v>24</v>
      </c>
      <c r="D262" s="4">
        <v>46</v>
      </c>
      <c r="E262" s="4">
        <v>30</v>
      </c>
      <c r="F262" s="4">
        <v>45</v>
      </c>
      <c r="G262" s="4">
        <v>34</v>
      </c>
      <c r="H262" s="4">
        <f t="shared" si="4"/>
        <v>179</v>
      </c>
    </row>
    <row r="263" spans="1:8">
      <c r="A263" s="5" t="s">
        <v>28</v>
      </c>
      <c r="B263" s="10">
        <v>41730</v>
      </c>
      <c r="C263" s="4">
        <v>37</v>
      </c>
      <c r="D263" s="4">
        <v>6</v>
      </c>
      <c r="E263" s="4">
        <v>45</v>
      </c>
      <c r="F263" s="4">
        <v>10</v>
      </c>
      <c r="G263" s="4">
        <v>24</v>
      </c>
      <c r="H263" s="4">
        <f t="shared" si="4"/>
        <v>122</v>
      </c>
    </row>
    <row r="264" spans="1:8">
      <c r="A264" s="5" t="s">
        <v>29</v>
      </c>
      <c r="B264" s="10">
        <v>41730</v>
      </c>
      <c r="C264" s="4">
        <v>11</v>
      </c>
      <c r="D264" s="4">
        <v>35</v>
      </c>
      <c r="E264" s="4">
        <v>2</v>
      </c>
      <c r="F264" s="4">
        <v>41</v>
      </c>
      <c r="G264" s="4">
        <v>12</v>
      </c>
      <c r="H264" s="4">
        <f t="shared" si="4"/>
        <v>101</v>
      </c>
    </row>
    <row r="265" spans="1:8">
      <c r="A265" s="5" t="s">
        <v>30</v>
      </c>
      <c r="B265" s="10">
        <v>41730</v>
      </c>
      <c r="C265" s="4">
        <v>21</v>
      </c>
      <c r="D265" s="4">
        <v>25</v>
      </c>
      <c r="E265" s="4">
        <v>13</v>
      </c>
      <c r="F265" s="4">
        <v>28</v>
      </c>
      <c r="G265" s="4">
        <v>35</v>
      </c>
      <c r="H265" s="4">
        <f t="shared" si="4"/>
        <v>122</v>
      </c>
    </row>
    <row r="266" spans="1:8">
      <c r="A266" s="5" t="s">
        <v>31</v>
      </c>
      <c r="B266" s="10">
        <v>41730</v>
      </c>
      <c r="C266" s="4">
        <v>10</v>
      </c>
      <c r="D266" s="4">
        <v>15</v>
      </c>
      <c r="E266" s="4">
        <v>3</v>
      </c>
      <c r="F266" s="4">
        <v>6</v>
      </c>
      <c r="G266" s="4">
        <v>47</v>
      </c>
      <c r="H266" s="4">
        <f t="shared" si="4"/>
        <v>81</v>
      </c>
    </row>
    <row r="267" spans="1:8">
      <c r="A267" s="5" t="s">
        <v>33</v>
      </c>
      <c r="B267" s="10">
        <v>41730</v>
      </c>
      <c r="C267" s="4">
        <v>3</v>
      </c>
      <c r="D267" s="4">
        <v>1</v>
      </c>
      <c r="E267" s="4">
        <v>29</v>
      </c>
      <c r="F267" s="4">
        <v>10</v>
      </c>
      <c r="G267" s="4">
        <v>17</v>
      </c>
      <c r="H267" s="4">
        <f t="shared" si="4"/>
        <v>60</v>
      </c>
    </row>
    <row r="268" spans="1:8">
      <c r="A268" s="5" t="s">
        <v>34</v>
      </c>
      <c r="B268" s="10">
        <v>41730</v>
      </c>
      <c r="C268" s="4">
        <v>49</v>
      </c>
      <c r="D268" s="4">
        <v>0</v>
      </c>
      <c r="E268" s="4">
        <v>26</v>
      </c>
      <c r="F268" s="4">
        <v>17</v>
      </c>
      <c r="G268" s="4">
        <v>49</v>
      </c>
      <c r="H268" s="4">
        <f t="shared" si="4"/>
        <v>141</v>
      </c>
    </row>
    <row r="269" spans="1:8">
      <c r="A269" s="5" t="s">
        <v>35</v>
      </c>
      <c r="B269" s="10">
        <v>41730</v>
      </c>
      <c r="C269" s="4">
        <v>33</v>
      </c>
      <c r="D269" s="4">
        <v>6</v>
      </c>
      <c r="E269" s="4">
        <v>27</v>
      </c>
      <c r="F269" s="4">
        <v>35</v>
      </c>
      <c r="G269" s="4">
        <v>0</v>
      </c>
      <c r="H269" s="4">
        <f t="shared" si="4"/>
        <v>101</v>
      </c>
    </row>
    <row r="270" spans="1:8">
      <c r="A270" s="5" t="s">
        <v>36</v>
      </c>
      <c r="B270" s="10">
        <v>41730</v>
      </c>
      <c r="C270" s="4">
        <v>8</v>
      </c>
      <c r="D270" s="4">
        <v>47</v>
      </c>
      <c r="E270" s="4">
        <v>49</v>
      </c>
      <c r="F270" s="4">
        <v>5</v>
      </c>
      <c r="G270" s="4">
        <v>17</v>
      </c>
      <c r="H270" s="4">
        <f t="shared" si="4"/>
        <v>126</v>
      </c>
    </row>
    <row r="271" spans="1:8">
      <c r="A271" s="5" t="s">
        <v>32</v>
      </c>
      <c r="B271" s="10">
        <v>41730</v>
      </c>
      <c r="C271" s="4">
        <v>45</v>
      </c>
      <c r="D271" s="4">
        <v>0</v>
      </c>
      <c r="E271" s="4">
        <v>42</v>
      </c>
      <c r="F271" s="4">
        <v>3</v>
      </c>
      <c r="G271" s="4">
        <v>19</v>
      </c>
      <c r="H271" s="4">
        <f t="shared" si="4"/>
        <v>109</v>
      </c>
    </row>
    <row r="272" spans="1:8">
      <c r="A272" s="5" t="s">
        <v>37</v>
      </c>
      <c r="B272" s="10">
        <v>41730</v>
      </c>
      <c r="C272" s="4">
        <v>10</v>
      </c>
      <c r="D272" s="4">
        <v>49</v>
      </c>
      <c r="E272" s="4">
        <v>3</v>
      </c>
      <c r="F272" s="4">
        <v>21</v>
      </c>
      <c r="G272" s="4">
        <v>46</v>
      </c>
      <c r="H272" s="4">
        <f t="shared" si="4"/>
        <v>129</v>
      </c>
    </row>
    <row r="273" spans="1:8">
      <c r="A273" s="5" t="s">
        <v>23</v>
      </c>
      <c r="B273" s="10">
        <v>41699</v>
      </c>
      <c r="C273" s="4">
        <v>45</v>
      </c>
      <c r="D273" s="4">
        <v>36</v>
      </c>
      <c r="E273" s="4">
        <v>5</v>
      </c>
      <c r="F273" s="4">
        <v>43</v>
      </c>
      <c r="G273" s="4">
        <v>15</v>
      </c>
      <c r="H273" s="4">
        <f t="shared" si="4"/>
        <v>144</v>
      </c>
    </row>
    <row r="274" spans="1:8">
      <c r="A274" s="5" t="s">
        <v>24</v>
      </c>
      <c r="B274" s="10">
        <v>41699</v>
      </c>
      <c r="C274" s="4">
        <v>33</v>
      </c>
      <c r="D274" s="4">
        <v>14</v>
      </c>
      <c r="E274" s="4">
        <v>32</v>
      </c>
      <c r="F274" s="4">
        <v>9</v>
      </c>
      <c r="G274" s="4">
        <v>21</v>
      </c>
      <c r="H274" s="4">
        <f t="shared" si="4"/>
        <v>109</v>
      </c>
    </row>
    <row r="275" spans="1:8">
      <c r="A275" s="5" t="s">
        <v>25</v>
      </c>
      <c r="B275" s="10">
        <v>41699</v>
      </c>
      <c r="C275" s="4">
        <v>37</v>
      </c>
      <c r="D275" s="4">
        <v>47</v>
      </c>
      <c r="E275" s="4">
        <v>21</v>
      </c>
      <c r="F275" s="4">
        <v>29</v>
      </c>
      <c r="G275" s="4">
        <v>44</v>
      </c>
      <c r="H275" s="4">
        <f t="shared" si="4"/>
        <v>178</v>
      </c>
    </row>
    <row r="276" spans="1:8">
      <c r="A276" s="5" t="s">
        <v>26</v>
      </c>
      <c r="B276" s="10">
        <v>41699</v>
      </c>
      <c r="C276" s="4">
        <v>28</v>
      </c>
      <c r="D276" s="4">
        <v>6</v>
      </c>
      <c r="E276" s="4">
        <v>20</v>
      </c>
      <c r="F276" s="4">
        <v>42</v>
      </c>
      <c r="G276" s="4">
        <v>32</v>
      </c>
      <c r="H276" s="4">
        <f t="shared" si="4"/>
        <v>128</v>
      </c>
    </row>
    <row r="277" spans="1:8">
      <c r="A277" s="5" t="s">
        <v>27</v>
      </c>
      <c r="B277" s="10">
        <v>41699</v>
      </c>
      <c r="C277" s="4">
        <v>24</v>
      </c>
      <c r="D277" s="4">
        <v>35</v>
      </c>
      <c r="E277" s="4">
        <v>43</v>
      </c>
      <c r="F277" s="4">
        <v>36</v>
      </c>
      <c r="G277" s="4">
        <v>41</v>
      </c>
      <c r="H277" s="4">
        <f t="shared" si="4"/>
        <v>179</v>
      </c>
    </row>
    <row r="278" spans="1:8">
      <c r="A278" s="5" t="s">
        <v>28</v>
      </c>
      <c r="B278" s="10">
        <v>41699</v>
      </c>
      <c r="C278" s="4">
        <v>45</v>
      </c>
      <c r="D278" s="4">
        <v>12</v>
      </c>
      <c r="E278" s="4">
        <v>3</v>
      </c>
      <c r="F278" s="4">
        <v>43</v>
      </c>
      <c r="G278" s="4">
        <v>41</v>
      </c>
      <c r="H278" s="4">
        <f t="shared" si="4"/>
        <v>144</v>
      </c>
    </row>
    <row r="279" spans="1:8">
      <c r="A279" s="5" t="s">
        <v>29</v>
      </c>
      <c r="B279" s="10">
        <v>41699</v>
      </c>
      <c r="C279" s="4">
        <v>22</v>
      </c>
      <c r="D279" s="4">
        <v>40</v>
      </c>
      <c r="E279" s="4">
        <v>48</v>
      </c>
      <c r="F279" s="4">
        <v>42</v>
      </c>
      <c r="G279" s="4">
        <v>41</v>
      </c>
      <c r="H279" s="4">
        <f t="shared" si="4"/>
        <v>193</v>
      </c>
    </row>
    <row r="280" spans="1:8">
      <c r="A280" s="5" t="s">
        <v>30</v>
      </c>
      <c r="B280" s="10">
        <v>41699</v>
      </c>
      <c r="C280" s="4">
        <v>3</v>
      </c>
      <c r="D280" s="4">
        <v>17</v>
      </c>
      <c r="E280" s="4">
        <v>41</v>
      </c>
      <c r="F280" s="4">
        <v>20</v>
      </c>
      <c r="G280" s="4">
        <v>45</v>
      </c>
      <c r="H280" s="4">
        <f t="shared" si="4"/>
        <v>126</v>
      </c>
    </row>
    <row r="281" spans="1:8">
      <c r="A281" s="5" t="s">
        <v>31</v>
      </c>
      <c r="B281" s="10">
        <v>41699</v>
      </c>
      <c r="C281" s="4">
        <v>19</v>
      </c>
      <c r="D281" s="4">
        <v>25</v>
      </c>
      <c r="E281" s="4">
        <v>30</v>
      </c>
      <c r="F281" s="4">
        <v>24</v>
      </c>
      <c r="G281" s="4">
        <v>38</v>
      </c>
      <c r="H281" s="4">
        <f t="shared" si="4"/>
        <v>136</v>
      </c>
    </row>
    <row r="282" spans="1:8">
      <c r="A282" s="5" t="s">
        <v>33</v>
      </c>
      <c r="B282" s="10">
        <v>41699</v>
      </c>
      <c r="C282" s="4">
        <v>24</v>
      </c>
      <c r="D282" s="4">
        <v>48</v>
      </c>
      <c r="E282" s="4">
        <v>4</v>
      </c>
      <c r="F282" s="4">
        <v>28</v>
      </c>
      <c r="G282" s="4">
        <v>3</v>
      </c>
      <c r="H282" s="4">
        <f t="shared" si="4"/>
        <v>107</v>
      </c>
    </row>
    <row r="283" spans="1:8">
      <c r="A283" s="5" t="s">
        <v>34</v>
      </c>
      <c r="B283" s="10">
        <v>41699</v>
      </c>
      <c r="C283" s="4">
        <v>25</v>
      </c>
      <c r="D283" s="4">
        <v>19</v>
      </c>
      <c r="E283" s="4">
        <v>3</v>
      </c>
      <c r="F283" s="4">
        <v>24</v>
      </c>
      <c r="G283" s="4">
        <v>38</v>
      </c>
      <c r="H283" s="4">
        <f t="shared" si="4"/>
        <v>109</v>
      </c>
    </row>
    <row r="284" spans="1:8">
      <c r="A284" s="5" t="s">
        <v>35</v>
      </c>
      <c r="B284" s="10">
        <v>41699</v>
      </c>
      <c r="C284" s="4">
        <v>24</v>
      </c>
      <c r="D284" s="4">
        <v>14</v>
      </c>
      <c r="E284" s="4">
        <v>21</v>
      </c>
      <c r="F284" s="4">
        <v>37</v>
      </c>
      <c r="G284" s="4">
        <v>16</v>
      </c>
      <c r="H284" s="4">
        <f t="shared" si="4"/>
        <v>112</v>
      </c>
    </row>
    <row r="285" spans="1:8">
      <c r="A285" s="5" t="s">
        <v>36</v>
      </c>
      <c r="B285" s="10">
        <v>41699</v>
      </c>
      <c r="C285" s="4">
        <v>8</v>
      </c>
      <c r="D285" s="4">
        <v>24</v>
      </c>
      <c r="E285" s="4">
        <v>40</v>
      </c>
      <c r="F285" s="4">
        <v>21</v>
      </c>
      <c r="G285" s="4">
        <v>35</v>
      </c>
      <c r="H285" s="4">
        <f t="shared" si="4"/>
        <v>128</v>
      </c>
    </row>
    <row r="286" spans="1:8">
      <c r="A286" s="5" t="s">
        <v>32</v>
      </c>
      <c r="B286" s="10">
        <v>41699</v>
      </c>
      <c r="C286" s="4">
        <v>34</v>
      </c>
      <c r="D286" s="4">
        <v>16</v>
      </c>
      <c r="E286" s="4">
        <v>26</v>
      </c>
      <c r="F286" s="4">
        <v>21</v>
      </c>
      <c r="G286" s="4">
        <v>4</v>
      </c>
      <c r="H286" s="4">
        <f t="shared" si="4"/>
        <v>101</v>
      </c>
    </row>
    <row r="287" spans="1:8">
      <c r="A287" s="5" t="s">
        <v>37</v>
      </c>
      <c r="B287" s="10">
        <v>41699</v>
      </c>
      <c r="C287" s="4">
        <v>33</v>
      </c>
      <c r="D287" s="4">
        <v>4</v>
      </c>
      <c r="E287" s="4">
        <v>45</v>
      </c>
      <c r="F287" s="4">
        <v>21</v>
      </c>
      <c r="G287" s="4">
        <v>24</v>
      </c>
      <c r="H287" s="4">
        <f t="shared" si="4"/>
        <v>127</v>
      </c>
    </row>
    <row r="288" spans="1:8">
      <c r="A288" s="5" t="s">
        <v>23</v>
      </c>
      <c r="B288" s="10">
        <v>41671</v>
      </c>
      <c r="C288" s="4">
        <v>31</v>
      </c>
      <c r="D288" s="4">
        <v>28</v>
      </c>
      <c r="E288" s="4">
        <v>12</v>
      </c>
      <c r="F288" s="4">
        <v>32</v>
      </c>
      <c r="G288" s="4">
        <v>12</v>
      </c>
      <c r="H288" s="4">
        <f t="shared" si="4"/>
        <v>115</v>
      </c>
    </row>
    <row r="289" spans="1:8">
      <c r="A289" s="5" t="s">
        <v>24</v>
      </c>
      <c r="B289" s="10">
        <v>41671</v>
      </c>
      <c r="C289" s="4">
        <v>38</v>
      </c>
      <c r="D289" s="4">
        <v>36</v>
      </c>
      <c r="E289" s="4">
        <v>46</v>
      </c>
      <c r="F289" s="4">
        <v>42</v>
      </c>
      <c r="G289" s="4">
        <v>38</v>
      </c>
      <c r="H289" s="4">
        <f t="shared" si="4"/>
        <v>200</v>
      </c>
    </row>
    <row r="290" spans="1:8">
      <c r="A290" s="5" t="s">
        <v>25</v>
      </c>
      <c r="B290" s="10">
        <v>41671</v>
      </c>
      <c r="C290" s="4">
        <v>18</v>
      </c>
      <c r="D290" s="4">
        <v>27</v>
      </c>
      <c r="E290" s="4">
        <v>42</v>
      </c>
      <c r="F290" s="4">
        <v>16</v>
      </c>
      <c r="G290" s="4">
        <v>25</v>
      </c>
      <c r="H290" s="4">
        <f t="shared" si="4"/>
        <v>128</v>
      </c>
    </row>
    <row r="291" spans="1:8">
      <c r="A291" s="5" t="s">
        <v>26</v>
      </c>
      <c r="B291" s="10">
        <v>41671</v>
      </c>
      <c r="C291" s="4">
        <v>14</v>
      </c>
      <c r="D291" s="4">
        <v>1</v>
      </c>
      <c r="E291" s="4">
        <v>45</v>
      </c>
      <c r="F291" s="4">
        <v>7</v>
      </c>
      <c r="G291" s="4">
        <v>17</v>
      </c>
      <c r="H291" s="4">
        <f t="shared" si="4"/>
        <v>84</v>
      </c>
    </row>
    <row r="292" spans="1:8">
      <c r="A292" s="5" t="s">
        <v>27</v>
      </c>
      <c r="B292" s="10">
        <v>41671</v>
      </c>
      <c r="C292" s="4">
        <v>32</v>
      </c>
      <c r="D292" s="4">
        <v>37</v>
      </c>
      <c r="E292" s="4">
        <v>14</v>
      </c>
      <c r="F292" s="4">
        <v>34</v>
      </c>
      <c r="G292" s="4">
        <v>32</v>
      </c>
      <c r="H292" s="4">
        <f t="shared" si="4"/>
        <v>149</v>
      </c>
    </row>
    <row r="293" spans="1:8">
      <c r="A293" s="5" t="s">
        <v>28</v>
      </c>
      <c r="B293" s="10">
        <v>41671</v>
      </c>
      <c r="C293" s="4">
        <v>14</v>
      </c>
      <c r="D293" s="4">
        <v>27</v>
      </c>
      <c r="E293" s="4">
        <v>46</v>
      </c>
      <c r="F293" s="4">
        <v>48</v>
      </c>
      <c r="G293" s="4">
        <v>5</v>
      </c>
      <c r="H293" s="4">
        <f t="shared" si="4"/>
        <v>140</v>
      </c>
    </row>
    <row r="294" spans="1:8">
      <c r="A294" s="5" t="s">
        <v>29</v>
      </c>
      <c r="B294" s="10">
        <v>41671</v>
      </c>
      <c r="C294" s="4">
        <v>37</v>
      </c>
      <c r="D294" s="4">
        <v>16</v>
      </c>
      <c r="E294" s="4">
        <v>41</v>
      </c>
      <c r="F294" s="4">
        <v>43</v>
      </c>
      <c r="G294" s="4">
        <v>48</v>
      </c>
      <c r="H294" s="4">
        <f t="shared" si="4"/>
        <v>185</v>
      </c>
    </row>
    <row r="295" spans="1:8">
      <c r="A295" s="5" t="s">
        <v>30</v>
      </c>
      <c r="B295" s="10">
        <v>41671</v>
      </c>
      <c r="C295" s="4">
        <v>29</v>
      </c>
      <c r="D295" s="4">
        <v>39</v>
      </c>
      <c r="E295" s="4">
        <v>8</v>
      </c>
      <c r="F295" s="4">
        <v>34</v>
      </c>
      <c r="G295" s="4">
        <v>23</v>
      </c>
      <c r="H295" s="4">
        <f t="shared" si="4"/>
        <v>133</v>
      </c>
    </row>
    <row r="296" spans="1:8">
      <c r="A296" s="5" t="s">
        <v>31</v>
      </c>
      <c r="B296" s="10">
        <v>41671</v>
      </c>
      <c r="C296" s="4">
        <v>10</v>
      </c>
      <c r="D296" s="4">
        <v>19</v>
      </c>
      <c r="E296" s="4">
        <v>19</v>
      </c>
      <c r="F296" s="4">
        <v>13</v>
      </c>
      <c r="G296" s="4">
        <v>44</v>
      </c>
      <c r="H296" s="4">
        <f t="shared" si="4"/>
        <v>105</v>
      </c>
    </row>
    <row r="297" spans="1:8">
      <c r="A297" s="5" t="s">
        <v>33</v>
      </c>
      <c r="B297" s="10">
        <v>41671</v>
      </c>
      <c r="C297" s="4">
        <v>28</v>
      </c>
      <c r="D297" s="4">
        <v>31</v>
      </c>
      <c r="E297" s="4">
        <v>34</v>
      </c>
      <c r="F297" s="4">
        <v>28</v>
      </c>
      <c r="G297" s="4">
        <v>19</v>
      </c>
      <c r="H297" s="4">
        <f t="shared" si="4"/>
        <v>140</v>
      </c>
    </row>
    <row r="298" spans="1:8">
      <c r="A298" s="5" t="s">
        <v>34</v>
      </c>
      <c r="B298" s="10">
        <v>41671</v>
      </c>
      <c r="C298" s="4">
        <v>8</v>
      </c>
      <c r="D298" s="4">
        <v>2</v>
      </c>
      <c r="E298" s="4">
        <v>32</v>
      </c>
      <c r="F298" s="4">
        <v>24</v>
      </c>
      <c r="G298" s="4">
        <v>39</v>
      </c>
      <c r="H298" s="4">
        <f t="shared" si="4"/>
        <v>105</v>
      </c>
    </row>
    <row r="299" spans="1:8">
      <c r="A299" s="5" t="s">
        <v>35</v>
      </c>
      <c r="B299" s="10">
        <v>41671</v>
      </c>
      <c r="C299" s="4">
        <v>38</v>
      </c>
      <c r="D299" s="4">
        <v>17</v>
      </c>
      <c r="E299" s="4">
        <v>48</v>
      </c>
      <c r="F299" s="4">
        <v>31</v>
      </c>
      <c r="G299" s="4">
        <v>11</v>
      </c>
      <c r="H299" s="4">
        <f t="shared" si="4"/>
        <v>145</v>
      </c>
    </row>
    <row r="300" spans="1:8">
      <c r="A300" s="5" t="s">
        <v>36</v>
      </c>
      <c r="B300" s="10">
        <v>41671</v>
      </c>
      <c r="C300" s="4">
        <v>13</v>
      </c>
      <c r="D300" s="4">
        <v>6</v>
      </c>
      <c r="E300" s="4">
        <v>11</v>
      </c>
      <c r="F300" s="4">
        <v>45</v>
      </c>
      <c r="G300" s="4">
        <v>6</v>
      </c>
      <c r="H300" s="4">
        <f t="shared" si="4"/>
        <v>81</v>
      </c>
    </row>
    <row r="301" spans="1:8">
      <c r="A301" s="5" t="s">
        <v>32</v>
      </c>
      <c r="B301" s="10">
        <v>41671</v>
      </c>
      <c r="C301" s="4">
        <v>26</v>
      </c>
      <c r="D301" s="4">
        <v>10</v>
      </c>
      <c r="E301" s="4">
        <v>49</v>
      </c>
      <c r="F301" s="4">
        <v>49</v>
      </c>
      <c r="G301" s="4">
        <v>34</v>
      </c>
      <c r="H301" s="4">
        <f t="shared" si="4"/>
        <v>168</v>
      </c>
    </row>
    <row r="302" spans="1:8">
      <c r="A302" s="5" t="s">
        <v>37</v>
      </c>
      <c r="B302" s="10">
        <v>41671</v>
      </c>
      <c r="C302" s="4">
        <v>18</v>
      </c>
      <c r="D302" s="4">
        <v>33</v>
      </c>
      <c r="E302" s="4">
        <v>29</v>
      </c>
      <c r="F302" s="4">
        <v>21</v>
      </c>
      <c r="G302" s="4">
        <v>38</v>
      </c>
      <c r="H302" s="4">
        <f t="shared" si="4"/>
        <v>139</v>
      </c>
    </row>
    <row r="303" spans="1:8">
      <c r="A303" s="5" t="s">
        <v>23</v>
      </c>
      <c r="B303" s="10">
        <v>41640</v>
      </c>
      <c r="C303" s="4">
        <v>13</v>
      </c>
      <c r="D303" s="4">
        <v>24</v>
      </c>
      <c r="E303" s="4">
        <v>11</v>
      </c>
      <c r="F303" s="4">
        <v>41</v>
      </c>
      <c r="G303" s="4">
        <v>22</v>
      </c>
      <c r="H303" s="4">
        <f t="shared" si="4"/>
        <v>111</v>
      </c>
    </row>
    <row r="304" spans="1:8">
      <c r="A304" s="5" t="s">
        <v>24</v>
      </c>
      <c r="B304" s="10">
        <v>41640</v>
      </c>
      <c r="C304" s="4">
        <v>4</v>
      </c>
      <c r="D304" s="4">
        <v>33</v>
      </c>
      <c r="E304" s="4">
        <v>27</v>
      </c>
      <c r="F304" s="4">
        <v>5</v>
      </c>
      <c r="G304" s="4">
        <v>27</v>
      </c>
      <c r="H304" s="4">
        <f t="shared" si="4"/>
        <v>96</v>
      </c>
    </row>
    <row r="305" spans="1:8">
      <c r="A305" s="5" t="s">
        <v>25</v>
      </c>
      <c r="B305" s="10">
        <v>41640</v>
      </c>
      <c r="C305" s="4">
        <v>38</v>
      </c>
      <c r="D305" s="4">
        <v>28</v>
      </c>
      <c r="E305" s="4">
        <v>9</v>
      </c>
      <c r="F305" s="4">
        <v>44</v>
      </c>
      <c r="G305" s="4">
        <v>36</v>
      </c>
      <c r="H305" s="4">
        <f t="shared" si="4"/>
        <v>155</v>
      </c>
    </row>
    <row r="306" spans="1:8">
      <c r="A306" s="5" t="s">
        <v>26</v>
      </c>
      <c r="B306" s="10">
        <v>41640</v>
      </c>
      <c r="C306" s="4">
        <v>44</v>
      </c>
      <c r="D306" s="4">
        <v>3</v>
      </c>
      <c r="E306" s="4">
        <v>19</v>
      </c>
      <c r="F306" s="4">
        <v>33</v>
      </c>
      <c r="G306" s="4">
        <v>23</v>
      </c>
      <c r="H306" s="4">
        <f t="shared" si="4"/>
        <v>122</v>
      </c>
    </row>
    <row r="307" spans="1:8">
      <c r="A307" s="5" t="s">
        <v>27</v>
      </c>
      <c r="B307" s="10">
        <v>41640</v>
      </c>
      <c r="C307" s="4">
        <v>9</v>
      </c>
      <c r="D307" s="4">
        <v>41</v>
      </c>
      <c r="E307" s="4">
        <v>16</v>
      </c>
      <c r="F307" s="4">
        <v>33</v>
      </c>
      <c r="G307" s="4">
        <v>45</v>
      </c>
      <c r="H307" s="4">
        <f t="shared" si="4"/>
        <v>144</v>
      </c>
    </row>
    <row r="308" spans="1:8">
      <c r="A308" s="5" t="s">
        <v>28</v>
      </c>
      <c r="B308" s="10">
        <v>41640</v>
      </c>
      <c r="C308" s="4">
        <v>16</v>
      </c>
      <c r="D308" s="4">
        <v>33</v>
      </c>
      <c r="E308" s="4">
        <v>40</v>
      </c>
      <c r="F308" s="4">
        <v>5</v>
      </c>
      <c r="G308" s="4">
        <v>13</v>
      </c>
      <c r="H308" s="4">
        <f t="shared" si="4"/>
        <v>107</v>
      </c>
    </row>
    <row r="309" spans="1:8">
      <c r="A309" s="5" t="s">
        <v>29</v>
      </c>
      <c r="B309" s="10">
        <v>41640</v>
      </c>
      <c r="C309" s="4">
        <v>44</v>
      </c>
      <c r="D309" s="4">
        <v>37</v>
      </c>
      <c r="E309" s="4">
        <v>8</v>
      </c>
      <c r="F309" s="4">
        <v>35</v>
      </c>
      <c r="G309" s="4">
        <v>39</v>
      </c>
      <c r="H309" s="4">
        <f t="shared" si="4"/>
        <v>163</v>
      </c>
    </row>
    <row r="310" spans="1:8">
      <c r="A310" s="5" t="s">
        <v>30</v>
      </c>
      <c r="B310" s="10">
        <v>41640</v>
      </c>
      <c r="C310" s="4">
        <v>40</v>
      </c>
      <c r="D310" s="4">
        <v>17</v>
      </c>
      <c r="E310" s="4">
        <v>17</v>
      </c>
      <c r="F310" s="4">
        <v>36</v>
      </c>
      <c r="G310" s="4">
        <v>8</v>
      </c>
      <c r="H310" s="4">
        <f t="shared" si="4"/>
        <v>118</v>
      </c>
    </row>
    <row r="311" spans="1:8">
      <c r="A311" s="5" t="s">
        <v>31</v>
      </c>
      <c r="B311" s="10">
        <v>41640</v>
      </c>
      <c r="C311" s="4">
        <v>7</v>
      </c>
      <c r="D311" s="4">
        <v>3</v>
      </c>
      <c r="E311" s="4">
        <v>29</v>
      </c>
      <c r="F311" s="4">
        <v>32</v>
      </c>
      <c r="G311" s="4">
        <v>2</v>
      </c>
      <c r="H311" s="4">
        <f t="shared" si="4"/>
        <v>73</v>
      </c>
    </row>
    <row r="312" spans="1:8">
      <c r="A312" s="5" t="s">
        <v>33</v>
      </c>
      <c r="B312" s="10">
        <v>41640</v>
      </c>
      <c r="C312" s="4">
        <v>45</v>
      </c>
      <c r="D312" s="4">
        <v>1</v>
      </c>
      <c r="E312" s="4">
        <v>9</v>
      </c>
      <c r="F312" s="4">
        <v>17</v>
      </c>
      <c r="G312" s="4">
        <v>43</v>
      </c>
      <c r="H312" s="4">
        <f t="shared" si="4"/>
        <v>115</v>
      </c>
    </row>
    <row r="313" spans="1:8">
      <c r="A313" s="5" t="s">
        <v>34</v>
      </c>
      <c r="B313" s="10">
        <v>41640</v>
      </c>
      <c r="C313" s="4">
        <v>9</v>
      </c>
      <c r="D313" s="4">
        <v>46</v>
      </c>
      <c r="E313" s="4">
        <v>39</v>
      </c>
      <c r="F313" s="4">
        <v>15</v>
      </c>
      <c r="G313" s="4">
        <v>46</v>
      </c>
      <c r="H313" s="4">
        <f t="shared" si="4"/>
        <v>155</v>
      </c>
    </row>
    <row r="314" spans="1:8">
      <c r="A314" s="5" t="s">
        <v>35</v>
      </c>
      <c r="B314" s="10">
        <v>41640</v>
      </c>
      <c r="C314" s="4">
        <v>36</v>
      </c>
      <c r="D314" s="4">
        <v>31</v>
      </c>
      <c r="E314" s="4">
        <v>47</v>
      </c>
      <c r="F314" s="4">
        <v>39</v>
      </c>
      <c r="G314" s="4">
        <v>6</v>
      </c>
      <c r="H314" s="4">
        <f t="shared" si="4"/>
        <v>159</v>
      </c>
    </row>
    <row r="315" spans="1:8">
      <c r="A315" s="5" t="s">
        <v>36</v>
      </c>
      <c r="B315" s="10">
        <v>41640</v>
      </c>
      <c r="C315" s="4">
        <v>20</v>
      </c>
      <c r="D315" s="4">
        <v>22</v>
      </c>
      <c r="E315" s="4">
        <v>15</v>
      </c>
      <c r="F315" s="4">
        <v>28</v>
      </c>
      <c r="G315" s="4">
        <v>16</v>
      </c>
      <c r="H315" s="4">
        <f t="shared" si="4"/>
        <v>101</v>
      </c>
    </row>
    <row r="316" spans="1:8">
      <c r="A316" s="5" t="s">
        <v>32</v>
      </c>
      <c r="B316" s="10">
        <v>41640</v>
      </c>
      <c r="C316" s="4">
        <v>47</v>
      </c>
      <c r="D316" s="4">
        <v>8</v>
      </c>
      <c r="E316" s="4">
        <v>48</v>
      </c>
      <c r="F316" s="4">
        <v>30</v>
      </c>
      <c r="G316" s="4">
        <v>49</v>
      </c>
      <c r="H316" s="4">
        <f t="shared" si="4"/>
        <v>182</v>
      </c>
    </row>
    <row r="317" spans="1:8">
      <c r="A317" s="5" t="s">
        <v>37</v>
      </c>
      <c r="B317" s="10">
        <v>41640</v>
      </c>
      <c r="C317" s="4">
        <v>22</v>
      </c>
      <c r="D317" s="4">
        <v>20</v>
      </c>
      <c r="E317" s="4">
        <v>43</v>
      </c>
      <c r="F317" s="4">
        <v>22</v>
      </c>
      <c r="G317" s="4">
        <v>16</v>
      </c>
      <c r="H317" s="4">
        <f t="shared" si="4"/>
        <v>123</v>
      </c>
    </row>
    <row r="318" spans="1:8">
      <c r="A318" s="16"/>
      <c r="B318" s="9"/>
    </row>
    <row r="319" spans="1:8">
      <c r="A319" s="16"/>
      <c r="B319" s="9"/>
    </row>
    <row r="320" spans="1:8">
      <c r="A320" s="16"/>
      <c r="B320" s="9"/>
    </row>
    <row r="321" spans="1:2">
      <c r="A321" s="16"/>
      <c r="B321" s="9"/>
    </row>
    <row r="322" spans="1:2">
      <c r="A322" s="16"/>
      <c r="B322" s="9"/>
    </row>
    <row r="323" spans="1:2">
      <c r="A323" s="16"/>
      <c r="B323" s="9"/>
    </row>
    <row r="324" spans="1:2">
      <c r="A324" s="16"/>
      <c r="B324" s="9"/>
    </row>
    <row r="325" spans="1:2">
      <c r="A325" s="16"/>
      <c r="B325" s="9"/>
    </row>
    <row r="326" spans="1:2">
      <c r="A326" s="16"/>
      <c r="B326" s="9"/>
    </row>
    <row r="327" spans="1:2">
      <c r="A327" s="16"/>
      <c r="B327" s="9"/>
    </row>
    <row r="328" spans="1:2">
      <c r="A328" s="16"/>
      <c r="B328" s="9"/>
    </row>
    <row r="329" spans="1:2">
      <c r="A329" s="16"/>
      <c r="B329" s="9"/>
    </row>
    <row r="330" spans="1:2">
      <c r="A330" s="16"/>
      <c r="B330" s="9"/>
    </row>
    <row r="331" spans="1:2">
      <c r="A331" s="16"/>
      <c r="B331" s="9"/>
    </row>
    <row r="332" spans="1:2">
      <c r="A332" s="16"/>
      <c r="B332" s="9"/>
    </row>
    <row r="333" spans="1:2">
      <c r="A333" s="16"/>
      <c r="B333" s="9"/>
    </row>
  </sheetData>
  <mergeCells count="1">
    <mergeCell ref="A1:H1"/>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O97"/>
  <sheetViews>
    <sheetView workbookViewId="0">
      <selection activeCell="E2" sqref="E2"/>
    </sheetView>
  </sheetViews>
  <sheetFormatPr defaultRowHeight="13.5"/>
  <cols>
    <col min="2" max="2" width="11.125" customWidth="1"/>
    <col min="3" max="3" width="11.625" bestFit="1" customWidth="1"/>
    <col min="5" max="5" width="12.75" bestFit="1" customWidth="1"/>
    <col min="7" max="7" width="31.75" customWidth="1"/>
    <col min="11" max="12" width="9" style="1"/>
  </cols>
  <sheetData>
    <row r="2" spans="1:15">
      <c r="A2" t="s">
        <v>91</v>
      </c>
      <c r="B2" s="21" t="s">
        <v>92</v>
      </c>
      <c r="C2" s="22" t="s">
        <v>94</v>
      </c>
      <c r="D2" s="21" t="s">
        <v>95</v>
      </c>
      <c r="E2" s="21" t="s">
        <v>93</v>
      </c>
      <c r="F2" t="s">
        <v>96</v>
      </c>
      <c r="G2">
        <f>COUNTIF(A:A,"*")</f>
        <v>77</v>
      </c>
      <c r="H2" s="2" t="s">
        <v>189</v>
      </c>
      <c r="I2" s="2"/>
      <c r="J2" s="2"/>
      <c r="K2" s="2"/>
      <c r="L2" s="2"/>
      <c r="M2" s="27"/>
      <c r="N2" s="27"/>
      <c r="O2" s="27"/>
    </row>
    <row r="3" spans="1:15">
      <c r="A3" s="28" t="s">
        <v>38</v>
      </c>
      <c r="B3" s="28" t="s">
        <v>50</v>
      </c>
      <c r="C3" s="28" t="s">
        <v>51</v>
      </c>
      <c r="D3" s="28" t="s">
        <v>52</v>
      </c>
      <c r="E3" s="28" t="s">
        <v>53</v>
      </c>
      <c r="F3" s="28" t="s">
        <v>54</v>
      </c>
      <c r="H3" s="16">
        <v>1</v>
      </c>
      <c r="I3" s="15" t="s">
        <v>4</v>
      </c>
      <c r="J3" s="15"/>
      <c r="K3" s="15">
        <v>1</v>
      </c>
      <c r="L3" s="15">
        <v>135</v>
      </c>
      <c r="M3" s="15"/>
      <c r="N3" s="23" t="s">
        <v>55</v>
      </c>
      <c r="O3" s="24" t="s">
        <v>99</v>
      </c>
    </row>
    <row r="4" spans="1:15">
      <c r="A4" s="5" t="s">
        <v>33</v>
      </c>
      <c r="B4" t="s">
        <v>55</v>
      </c>
      <c r="C4" s="19">
        <v>41820</v>
      </c>
      <c r="D4" t="s">
        <v>85</v>
      </c>
      <c r="E4">
        <v>13903613092.557779</v>
      </c>
      <c r="F4" t="s">
        <v>787</v>
      </c>
      <c r="H4" s="16">
        <v>2</v>
      </c>
      <c r="I4" s="15" t="s">
        <v>5</v>
      </c>
      <c r="J4" s="16"/>
      <c r="K4" s="15">
        <v>2</v>
      </c>
      <c r="L4" s="15">
        <v>136</v>
      </c>
      <c r="M4" s="16"/>
      <c r="N4" s="25" t="s">
        <v>58</v>
      </c>
      <c r="O4" s="24" t="s">
        <v>100</v>
      </c>
    </row>
    <row r="5" spans="1:15">
      <c r="A5" s="5" t="s">
        <v>33</v>
      </c>
      <c r="B5" t="s">
        <v>56</v>
      </c>
      <c r="C5" s="19">
        <v>41851</v>
      </c>
      <c r="D5" t="s">
        <v>87</v>
      </c>
      <c r="E5">
        <v>13029223332.491011</v>
      </c>
      <c r="F5" t="s">
        <v>427</v>
      </c>
      <c r="H5" s="16">
        <v>3</v>
      </c>
      <c r="I5" s="15" t="s">
        <v>6</v>
      </c>
      <c r="J5" s="16"/>
      <c r="K5" s="15">
        <v>3</v>
      </c>
      <c r="L5" s="15">
        <v>137</v>
      </c>
      <c r="M5" s="16"/>
      <c r="N5" s="25" t="s">
        <v>58</v>
      </c>
      <c r="O5" s="24" t="s">
        <v>101</v>
      </c>
    </row>
    <row r="6" spans="1:15">
      <c r="A6" s="5" t="s">
        <v>33</v>
      </c>
      <c r="B6" t="s">
        <v>57</v>
      </c>
      <c r="C6" s="19">
        <v>42063</v>
      </c>
      <c r="D6" t="s">
        <v>90</v>
      </c>
      <c r="E6">
        <v>13798960074.507595</v>
      </c>
      <c r="F6" t="s">
        <v>584</v>
      </c>
      <c r="H6" s="16">
        <v>4</v>
      </c>
      <c r="I6" s="15" t="s">
        <v>7</v>
      </c>
      <c r="J6" s="16"/>
      <c r="K6" s="15">
        <v>4</v>
      </c>
      <c r="L6" s="15">
        <v>138</v>
      </c>
      <c r="M6" s="16"/>
      <c r="N6" s="25" t="s">
        <v>58</v>
      </c>
      <c r="O6" s="24" t="s">
        <v>102</v>
      </c>
    </row>
    <row r="7" spans="1:15">
      <c r="A7" s="5" t="s">
        <v>33</v>
      </c>
      <c r="B7" t="s">
        <v>58</v>
      </c>
      <c r="C7" s="19">
        <v>42124</v>
      </c>
      <c r="D7" t="s">
        <v>78</v>
      </c>
      <c r="E7">
        <v>13171832586.614315</v>
      </c>
      <c r="F7" t="s">
        <v>484</v>
      </c>
      <c r="H7" s="16">
        <v>5</v>
      </c>
      <c r="I7" s="15" t="s">
        <v>8</v>
      </c>
      <c r="J7" s="16"/>
      <c r="K7" s="15">
        <v>5</v>
      </c>
      <c r="L7" s="15">
        <v>139</v>
      </c>
      <c r="M7" s="16"/>
      <c r="N7" s="25" t="s">
        <v>57</v>
      </c>
      <c r="O7" s="24" t="s">
        <v>103</v>
      </c>
    </row>
    <row r="8" spans="1:15">
      <c r="A8" s="5" t="s">
        <v>33</v>
      </c>
      <c r="B8" t="s">
        <v>58</v>
      </c>
      <c r="C8" s="19">
        <v>41973</v>
      </c>
      <c r="D8" t="s">
        <v>85</v>
      </c>
      <c r="E8">
        <v>18650139013.160755</v>
      </c>
      <c r="F8" t="s">
        <v>444</v>
      </c>
      <c r="H8" s="16"/>
      <c r="I8" s="16"/>
      <c r="J8" s="16"/>
      <c r="K8" s="15">
        <v>6</v>
      </c>
      <c r="L8" s="15">
        <v>130</v>
      </c>
      <c r="M8" s="16"/>
      <c r="N8" s="25" t="s">
        <v>57</v>
      </c>
      <c r="O8" s="24" t="s">
        <v>104</v>
      </c>
    </row>
    <row r="9" spans="1:15">
      <c r="A9" s="5" t="s">
        <v>37</v>
      </c>
      <c r="B9" t="s">
        <v>59</v>
      </c>
      <c r="C9" s="19">
        <v>42247</v>
      </c>
      <c r="D9" t="s">
        <v>97</v>
      </c>
      <c r="E9">
        <v>13677097601.650478</v>
      </c>
      <c r="F9" t="s">
        <v>673</v>
      </c>
      <c r="H9" s="16">
        <v>1</v>
      </c>
      <c r="I9" s="20" t="s">
        <v>60</v>
      </c>
      <c r="J9" s="16"/>
      <c r="K9" s="15">
        <v>7</v>
      </c>
      <c r="L9" s="15">
        <v>131</v>
      </c>
      <c r="M9" s="16"/>
      <c r="N9" s="23" t="s">
        <v>55</v>
      </c>
      <c r="O9" s="24" t="s">
        <v>105</v>
      </c>
    </row>
    <row r="10" spans="1:15">
      <c r="A10" s="5" t="s">
        <v>37</v>
      </c>
      <c r="B10" t="s">
        <v>55</v>
      </c>
      <c r="C10" s="19">
        <v>41790</v>
      </c>
      <c r="D10" t="s">
        <v>86</v>
      </c>
      <c r="E10">
        <v>13507043109.047916</v>
      </c>
      <c r="F10" t="s">
        <v>334</v>
      </c>
      <c r="H10" s="16">
        <v>2</v>
      </c>
      <c r="I10" s="20" t="s">
        <v>61</v>
      </c>
      <c r="J10" s="16"/>
      <c r="K10" s="15">
        <v>8</v>
      </c>
      <c r="L10" s="15">
        <v>158</v>
      </c>
      <c r="M10" s="16"/>
      <c r="N10" s="25" t="s">
        <v>56</v>
      </c>
      <c r="O10" s="24" t="s">
        <v>106</v>
      </c>
    </row>
    <row r="11" spans="1:15">
      <c r="A11" s="5" t="s">
        <v>37</v>
      </c>
      <c r="B11" t="s">
        <v>55</v>
      </c>
      <c r="C11" s="19">
        <v>41759</v>
      </c>
      <c r="D11" t="s">
        <v>83</v>
      </c>
      <c r="E11">
        <v>18720402731.656715</v>
      </c>
      <c r="F11" t="s">
        <v>778</v>
      </c>
      <c r="H11" s="16">
        <v>3</v>
      </c>
      <c r="I11" s="20" t="s">
        <v>62</v>
      </c>
      <c r="J11" s="16"/>
      <c r="K11" s="15">
        <v>9</v>
      </c>
      <c r="L11" s="15">
        <v>186</v>
      </c>
      <c r="M11" s="16"/>
      <c r="N11" s="25" t="s">
        <v>56</v>
      </c>
      <c r="O11" s="24" t="s">
        <v>107</v>
      </c>
    </row>
    <row r="12" spans="1:15">
      <c r="A12" s="5" t="s">
        <v>37</v>
      </c>
      <c r="B12" t="s">
        <v>57</v>
      </c>
      <c r="C12" s="19">
        <v>41882</v>
      </c>
      <c r="D12" t="s">
        <v>73</v>
      </c>
      <c r="E12">
        <v>13702689116.196999</v>
      </c>
      <c r="F12" t="s">
        <v>608</v>
      </c>
      <c r="H12" s="16">
        <v>4</v>
      </c>
      <c r="I12" s="20" t="s">
        <v>63</v>
      </c>
      <c r="J12" s="16"/>
      <c r="K12" s="15">
        <v>10</v>
      </c>
      <c r="L12" s="15">
        <v>187</v>
      </c>
      <c r="M12" s="16"/>
      <c r="N12" s="25" t="s">
        <v>56</v>
      </c>
      <c r="O12" s="24" t="s">
        <v>106</v>
      </c>
    </row>
    <row r="13" spans="1:15">
      <c r="A13" s="5" t="s">
        <v>37</v>
      </c>
      <c r="B13" t="s">
        <v>58</v>
      </c>
      <c r="C13" s="19">
        <v>42004</v>
      </c>
      <c r="D13" t="s">
        <v>74</v>
      </c>
      <c r="E13">
        <v>13193534024.870949</v>
      </c>
      <c r="F13" t="s">
        <v>434</v>
      </c>
      <c r="H13" s="16">
        <v>5</v>
      </c>
      <c r="I13" s="20" t="s">
        <v>64</v>
      </c>
      <c r="J13" s="16"/>
      <c r="K13" s="15"/>
      <c r="L13" s="15"/>
      <c r="M13" s="16"/>
      <c r="N13" s="25" t="s">
        <v>56</v>
      </c>
      <c r="O13" s="24" t="s">
        <v>108</v>
      </c>
    </row>
    <row r="14" spans="1:15">
      <c r="A14" s="5" t="s">
        <v>29</v>
      </c>
      <c r="B14" t="s">
        <v>55</v>
      </c>
      <c r="C14" s="19">
        <v>41729</v>
      </c>
      <c r="D14" t="s">
        <v>98</v>
      </c>
      <c r="E14">
        <v>13676500902.351147</v>
      </c>
      <c r="F14" t="s">
        <v>303</v>
      </c>
      <c r="H14" s="16">
        <v>6</v>
      </c>
      <c r="I14" s="20" t="s">
        <v>65</v>
      </c>
      <c r="J14" s="16"/>
      <c r="K14" s="15"/>
      <c r="L14" s="15"/>
      <c r="M14" s="16"/>
      <c r="N14" s="25" t="s">
        <v>56</v>
      </c>
      <c r="O14" s="24" t="s">
        <v>109</v>
      </c>
    </row>
    <row r="15" spans="1:15">
      <c r="A15" s="5" t="s">
        <v>29</v>
      </c>
      <c r="B15" t="s">
        <v>55</v>
      </c>
      <c r="C15" s="19">
        <v>41943</v>
      </c>
      <c r="D15" t="s">
        <v>79</v>
      </c>
      <c r="E15">
        <v>18768052368.129673</v>
      </c>
      <c r="F15" t="s">
        <v>778</v>
      </c>
      <c r="H15" s="16">
        <v>7</v>
      </c>
      <c r="I15" s="20" t="s">
        <v>66</v>
      </c>
      <c r="J15" s="16"/>
      <c r="K15" s="15"/>
      <c r="L15" s="15"/>
      <c r="M15" s="16"/>
      <c r="N15" s="25" t="s">
        <v>58</v>
      </c>
      <c r="O15" s="24" t="s">
        <v>110</v>
      </c>
    </row>
    <row r="16" spans="1:15">
      <c r="A16" s="5" t="s">
        <v>29</v>
      </c>
      <c r="B16" t="s">
        <v>57</v>
      </c>
      <c r="C16" s="19">
        <v>42063</v>
      </c>
      <c r="D16" t="s">
        <v>80</v>
      </c>
      <c r="E16">
        <v>13504279785.845089</v>
      </c>
      <c r="F16" t="s">
        <v>558</v>
      </c>
      <c r="H16" s="16">
        <v>8</v>
      </c>
      <c r="I16" s="20" t="s">
        <v>67</v>
      </c>
      <c r="J16" s="16"/>
      <c r="K16" s="15"/>
      <c r="L16" s="15"/>
      <c r="M16" s="16"/>
      <c r="N16" s="25" t="s">
        <v>58</v>
      </c>
      <c r="O16" s="24" t="s">
        <v>111</v>
      </c>
    </row>
    <row r="17" spans="1:15">
      <c r="A17" s="5" t="s">
        <v>29</v>
      </c>
      <c r="B17" t="s">
        <v>57</v>
      </c>
      <c r="C17" s="19">
        <v>41639</v>
      </c>
      <c r="D17" t="s">
        <v>97</v>
      </c>
      <c r="E17">
        <v>13858771707.28109</v>
      </c>
      <c r="F17" t="s">
        <v>591</v>
      </c>
      <c r="H17" s="16">
        <v>9</v>
      </c>
      <c r="I17" s="20" t="s">
        <v>68</v>
      </c>
      <c r="J17" s="16"/>
      <c r="K17" s="15"/>
      <c r="L17" s="15"/>
      <c r="M17" s="16"/>
      <c r="N17" s="25" t="s">
        <v>58</v>
      </c>
      <c r="O17" s="24" t="s">
        <v>112</v>
      </c>
    </row>
    <row r="18" spans="1:15">
      <c r="A18" s="5" t="s">
        <v>29</v>
      </c>
      <c r="B18" t="s">
        <v>58</v>
      </c>
      <c r="C18" s="19">
        <v>42063</v>
      </c>
      <c r="D18" t="s">
        <v>89</v>
      </c>
      <c r="E18">
        <v>18742135072.654018</v>
      </c>
      <c r="F18" t="s">
        <v>739</v>
      </c>
      <c r="H18" s="16">
        <v>10</v>
      </c>
      <c r="I18" s="20" t="s">
        <v>69</v>
      </c>
      <c r="J18" s="16"/>
      <c r="K18" s="15"/>
      <c r="L18" s="15"/>
      <c r="M18" s="16"/>
      <c r="N18" s="25" t="s">
        <v>58</v>
      </c>
      <c r="O18" s="24" t="s">
        <v>113</v>
      </c>
    </row>
    <row r="19" spans="1:15">
      <c r="A19" s="5" t="s">
        <v>24</v>
      </c>
      <c r="B19" t="s">
        <v>56</v>
      </c>
      <c r="C19" s="19">
        <v>42216</v>
      </c>
      <c r="D19" t="s">
        <v>85</v>
      </c>
      <c r="E19">
        <v>13543599960.394451</v>
      </c>
      <c r="F19" t="s">
        <v>414</v>
      </c>
      <c r="H19" s="16">
        <v>11</v>
      </c>
      <c r="I19" s="20" t="s">
        <v>70</v>
      </c>
      <c r="J19" s="16"/>
      <c r="K19" s="15"/>
      <c r="L19" s="15"/>
      <c r="M19" s="16"/>
      <c r="N19" s="25" t="s">
        <v>58</v>
      </c>
      <c r="O19" s="24" t="s">
        <v>114</v>
      </c>
    </row>
    <row r="20" spans="1:15">
      <c r="A20" s="5" t="s">
        <v>24</v>
      </c>
      <c r="B20" t="s">
        <v>57</v>
      </c>
      <c r="C20" s="19">
        <v>41639</v>
      </c>
      <c r="D20" t="s">
        <v>98</v>
      </c>
      <c r="E20">
        <v>13559598461.785082</v>
      </c>
      <c r="F20" t="s">
        <v>563</v>
      </c>
      <c r="H20" s="16"/>
      <c r="I20" s="16"/>
      <c r="J20" s="16"/>
      <c r="K20" s="15"/>
      <c r="L20" s="15"/>
      <c r="M20" s="16"/>
      <c r="N20" s="25" t="s">
        <v>58</v>
      </c>
      <c r="O20" s="24" t="s">
        <v>115</v>
      </c>
    </row>
    <row r="21" spans="1:15">
      <c r="A21" s="5" t="s">
        <v>24</v>
      </c>
      <c r="B21" t="s">
        <v>58</v>
      </c>
      <c r="C21" s="19">
        <v>42155</v>
      </c>
      <c r="D21" t="s">
        <v>74</v>
      </c>
      <c r="E21">
        <v>13500934971.936293</v>
      </c>
      <c r="F21" t="s">
        <v>475</v>
      </c>
      <c r="H21" s="16">
        <v>1</v>
      </c>
      <c r="I21" s="20" t="s">
        <v>71</v>
      </c>
      <c r="J21" s="16"/>
      <c r="K21" s="15"/>
      <c r="L21" s="15"/>
      <c r="M21" s="16"/>
      <c r="N21" s="25" t="s">
        <v>58</v>
      </c>
      <c r="O21" s="24" t="s">
        <v>116</v>
      </c>
    </row>
    <row r="22" spans="1:15">
      <c r="A22" s="5" t="s">
        <v>24</v>
      </c>
      <c r="B22" t="s">
        <v>58</v>
      </c>
      <c r="C22" s="19">
        <v>41759</v>
      </c>
      <c r="D22" t="s">
        <v>88</v>
      </c>
      <c r="E22">
        <v>18758761732.842106</v>
      </c>
      <c r="F22" t="s">
        <v>482</v>
      </c>
      <c r="H22" s="16">
        <v>2</v>
      </c>
      <c r="I22" s="20" t="s">
        <v>72</v>
      </c>
      <c r="J22" s="16"/>
      <c r="K22" s="15"/>
      <c r="L22" s="15"/>
      <c r="M22" s="16"/>
      <c r="N22" s="25" t="s">
        <v>58</v>
      </c>
      <c r="O22" s="24" t="s">
        <v>117</v>
      </c>
    </row>
    <row r="23" spans="1:15">
      <c r="A23" s="5" t="s">
        <v>24</v>
      </c>
      <c r="B23" t="s">
        <v>58</v>
      </c>
      <c r="C23" s="19">
        <v>41698</v>
      </c>
      <c r="D23" t="s">
        <v>89</v>
      </c>
      <c r="E23">
        <v>15832935156.118813</v>
      </c>
      <c r="F23" t="s">
        <v>465</v>
      </c>
      <c r="N23" s="25" t="s">
        <v>56</v>
      </c>
      <c r="O23" s="24" t="s">
        <v>118</v>
      </c>
    </row>
    <row r="24" spans="1:15">
      <c r="A24" s="5" t="s">
        <v>28</v>
      </c>
      <c r="B24" t="s">
        <v>56</v>
      </c>
      <c r="C24" s="19">
        <v>41882</v>
      </c>
      <c r="D24" t="s">
        <v>76</v>
      </c>
      <c r="E24">
        <v>13004659793.081089</v>
      </c>
      <c r="F24" t="s">
        <v>362</v>
      </c>
      <c r="N24" s="23" t="s">
        <v>55</v>
      </c>
      <c r="O24" s="24" t="s">
        <v>119</v>
      </c>
    </row>
    <row r="25" spans="1:15">
      <c r="A25" s="5" t="s">
        <v>28</v>
      </c>
      <c r="B25" t="s">
        <v>56</v>
      </c>
      <c r="C25" s="19">
        <v>42035</v>
      </c>
      <c r="D25" t="s">
        <v>75</v>
      </c>
      <c r="E25">
        <v>15875843630.394497</v>
      </c>
      <c r="F25" t="s">
        <v>383</v>
      </c>
      <c r="N25" s="23" t="s">
        <v>55</v>
      </c>
      <c r="O25" s="24" t="s">
        <v>120</v>
      </c>
    </row>
    <row r="26" spans="1:15">
      <c r="A26" s="5" t="s">
        <v>28</v>
      </c>
      <c r="B26" t="s">
        <v>56</v>
      </c>
      <c r="C26" s="19">
        <v>41882</v>
      </c>
      <c r="D26" t="s">
        <v>86</v>
      </c>
      <c r="E26">
        <v>18697141544.069134</v>
      </c>
      <c r="F26" t="s">
        <v>864</v>
      </c>
      <c r="N26" s="25" t="s">
        <v>56</v>
      </c>
      <c r="O26" s="24" t="s">
        <v>121</v>
      </c>
    </row>
    <row r="27" spans="1:15">
      <c r="A27" s="5" t="s">
        <v>28</v>
      </c>
      <c r="B27" t="s">
        <v>58</v>
      </c>
      <c r="C27" s="19">
        <v>42124</v>
      </c>
      <c r="D27" t="s">
        <v>77</v>
      </c>
      <c r="E27">
        <v>18698670136.136227</v>
      </c>
      <c r="F27" t="s">
        <v>439</v>
      </c>
      <c r="N27" s="25" t="s">
        <v>56</v>
      </c>
      <c r="O27" s="24" t="s">
        <v>122</v>
      </c>
    </row>
    <row r="28" spans="1:15">
      <c r="A28" s="5" t="s">
        <v>28</v>
      </c>
      <c r="B28" t="s">
        <v>58</v>
      </c>
      <c r="C28" s="19">
        <v>42063</v>
      </c>
      <c r="D28" t="s">
        <v>88</v>
      </c>
      <c r="E28">
        <v>13809669139.06883</v>
      </c>
      <c r="F28" t="s">
        <v>480</v>
      </c>
      <c r="N28" s="25" t="s">
        <v>56</v>
      </c>
      <c r="O28" s="24" t="s">
        <v>123</v>
      </c>
    </row>
    <row r="29" spans="1:15">
      <c r="A29" s="5" t="s">
        <v>32</v>
      </c>
      <c r="B29" t="s">
        <v>55</v>
      </c>
      <c r="C29" s="19">
        <v>41639</v>
      </c>
      <c r="D29" t="s">
        <v>77</v>
      </c>
      <c r="E29">
        <v>18628917596.778694</v>
      </c>
      <c r="F29" t="s">
        <v>267</v>
      </c>
      <c r="N29" s="25" t="s">
        <v>58</v>
      </c>
      <c r="O29" s="24" t="s">
        <v>124</v>
      </c>
    </row>
    <row r="30" spans="1:15">
      <c r="A30" s="5" t="s">
        <v>32</v>
      </c>
      <c r="B30" t="s">
        <v>57</v>
      </c>
      <c r="C30" s="19">
        <v>42063</v>
      </c>
      <c r="D30" t="s">
        <v>77</v>
      </c>
      <c r="E30">
        <v>13696699496.871414</v>
      </c>
      <c r="F30" t="s">
        <v>565</v>
      </c>
      <c r="N30" s="23" t="s">
        <v>55</v>
      </c>
      <c r="O30" s="24" t="s">
        <v>125</v>
      </c>
    </row>
    <row r="31" spans="1:15">
      <c r="A31" s="5" t="s">
        <v>32</v>
      </c>
      <c r="B31" t="s">
        <v>57</v>
      </c>
      <c r="C31" s="19">
        <v>41820</v>
      </c>
      <c r="D31" t="s">
        <v>84</v>
      </c>
      <c r="E31">
        <v>13992098444.739418</v>
      </c>
      <c r="F31" t="s">
        <v>514</v>
      </c>
      <c r="N31" s="23" t="s">
        <v>55</v>
      </c>
      <c r="O31" s="24" t="s">
        <v>126</v>
      </c>
    </row>
    <row r="32" spans="1:15">
      <c r="A32" s="5" t="s">
        <v>32</v>
      </c>
      <c r="B32" t="s">
        <v>57</v>
      </c>
      <c r="C32" s="19">
        <v>42035</v>
      </c>
      <c r="D32" t="s">
        <v>75</v>
      </c>
      <c r="E32">
        <v>13598645788.697617</v>
      </c>
      <c r="F32" t="s">
        <v>564</v>
      </c>
      <c r="N32" s="25" t="s">
        <v>56</v>
      </c>
      <c r="O32" s="24" t="s">
        <v>127</v>
      </c>
    </row>
    <row r="33" spans="1:15">
      <c r="A33" s="5" t="s">
        <v>32</v>
      </c>
      <c r="B33" t="s">
        <v>58</v>
      </c>
      <c r="C33" s="19">
        <v>42004</v>
      </c>
      <c r="D33" t="s">
        <v>89</v>
      </c>
      <c r="E33">
        <v>13010741373.804682</v>
      </c>
      <c r="F33" t="s">
        <v>464</v>
      </c>
      <c r="N33" s="25" t="s">
        <v>56</v>
      </c>
      <c r="O33" s="24" t="s">
        <v>127</v>
      </c>
    </row>
    <row r="34" spans="1:15">
      <c r="A34" s="5" t="s">
        <v>34</v>
      </c>
      <c r="B34" t="s">
        <v>55</v>
      </c>
      <c r="C34" s="19">
        <v>41943</v>
      </c>
      <c r="D34" t="s">
        <v>98</v>
      </c>
      <c r="E34">
        <v>13794038044.096525</v>
      </c>
      <c r="F34" t="s">
        <v>321</v>
      </c>
      <c r="N34" s="25" t="s">
        <v>56</v>
      </c>
      <c r="O34" s="24" t="s">
        <v>128</v>
      </c>
    </row>
    <row r="35" spans="1:15">
      <c r="A35" s="5" t="s">
        <v>34</v>
      </c>
      <c r="B35" t="s">
        <v>55</v>
      </c>
      <c r="C35" s="19">
        <v>42247</v>
      </c>
      <c r="D35" t="s">
        <v>85</v>
      </c>
      <c r="E35">
        <v>18622508272.001694</v>
      </c>
      <c r="F35" t="s">
        <v>303</v>
      </c>
      <c r="N35" s="25" t="s">
        <v>58</v>
      </c>
      <c r="O35" s="24" t="s">
        <v>129</v>
      </c>
    </row>
    <row r="36" spans="1:15">
      <c r="A36" s="5" t="s">
        <v>34</v>
      </c>
      <c r="B36" t="s">
        <v>56</v>
      </c>
      <c r="C36" s="19">
        <v>41912</v>
      </c>
      <c r="D36" t="s">
        <v>89</v>
      </c>
      <c r="E36">
        <v>13660580861.261887</v>
      </c>
      <c r="F36" t="s">
        <v>373</v>
      </c>
      <c r="N36" s="25" t="s">
        <v>58</v>
      </c>
      <c r="O36" s="24" t="s">
        <v>130</v>
      </c>
    </row>
    <row r="37" spans="1:15">
      <c r="A37" s="5" t="s">
        <v>34</v>
      </c>
      <c r="B37" t="s">
        <v>57</v>
      </c>
      <c r="C37" s="19">
        <v>42035</v>
      </c>
      <c r="D37" t="s">
        <v>76</v>
      </c>
      <c r="E37">
        <v>13736623837.046265</v>
      </c>
      <c r="F37" t="s">
        <v>624</v>
      </c>
      <c r="N37" s="25" t="s">
        <v>58</v>
      </c>
      <c r="O37" s="24" t="s">
        <v>131</v>
      </c>
    </row>
    <row r="38" spans="1:15">
      <c r="A38" s="5" t="s">
        <v>34</v>
      </c>
      <c r="B38" t="s">
        <v>58</v>
      </c>
      <c r="C38" s="19">
        <v>42247</v>
      </c>
      <c r="D38" t="s">
        <v>81</v>
      </c>
      <c r="E38">
        <v>13963012153.991732</v>
      </c>
      <c r="F38" t="s">
        <v>791</v>
      </c>
      <c r="N38" s="25" t="s">
        <v>58</v>
      </c>
      <c r="O38" s="24" t="s">
        <v>132</v>
      </c>
    </row>
    <row r="39" spans="1:15">
      <c r="A39" s="5" t="s">
        <v>31</v>
      </c>
      <c r="B39" t="s">
        <v>59</v>
      </c>
      <c r="C39" s="19">
        <v>42035</v>
      </c>
      <c r="D39" t="s">
        <v>80</v>
      </c>
      <c r="E39">
        <v>13880926971.818468</v>
      </c>
      <c r="F39" t="s">
        <v>668</v>
      </c>
      <c r="N39" s="25" t="s">
        <v>58</v>
      </c>
      <c r="O39" s="24" t="s">
        <v>133</v>
      </c>
    </row>
    <row r="40" spans="1:15">
      <c r="A40" s="5" t="s">
        <v>31</v>
      </c>
      <c r="B40" t="s">
        <v>56</v>
      </c>
      <c r="C40" s="19">
        <v>41670</v>
      </c>
      <c r="D40" t="s">
        <v>97</v>
      </c>
      <c r="E40">
        <v>18601681849.034962</v>
      </c>
      <c r="F40" t="s">
        <v>400</v>
      </c>
      <c r="N40" s="25" t="s">
        <v>57</v>
      </c>
      <c r="O40" s="24" t="s">
        <v>134</v>
      </c>
    </row>
    <row r="41" spans="1:15">
      <c r="A41" s="5" t="s">
        <v>31</v>
      </c>
      <c r="B41" t="s">
        <v>56</v>
      </c>
      <c r="C41" s="19">
        <v>42247</v>
      </c>
      <c r="D41" t="s">
        <v>83</v>
      </c>
      <c r="E41">
        <v>13071630919.276411</v>
      </c>
      <c r="F41" t="s">
        <v>368</v>
      </c>
      <c r="N41" s="25" t="s">
        <v>57</v>
      </c>
      <c r="O41" s="24" t="s">
        <v>135</v>
      </c>
    </row>
    <row r="42" spans="1:15">
      <c r="A42" s="5" t="s">
        <v>31</v>
      </c>
      <c r="B42" t="s">
        <v>57</v>
      </c>
      <c r="C42" s="19">
        <v>42124</v>
      </c>
      <c r="D42" t="s">
        <v>81</v>
      </c>
      <c r="E42">
        <v>13638070758.836002</v>
      </c>
      <c r="F42" t="s">
        <v>583</v>
      </c>
      <c r="N42" s="25" t="s">
        <v>57</v>
      </c>
      <c r="O42" s="24" t="s">
        <v>136</v>
      </c>
    </row>
    <row r="43" spans="1:15">
      <c r="A43" s="5" t="s">
        <v>31</v>
      </c>
      <c r="B43" t="s">
        <v>58</v>
      </c>
      <c r="C43" s="19">
        <v>42155</v>
      </c>
      <c r="D43" t="s">
        <v>86</v>
      </c>
      <c r="E43">
        <v>13177137222.580894</v>
      </c>
      <c r="F43" t="s">
        <v>488</v>
      </c>
      <c r="N43" s="25" t="s">
        <v>57</v>
      </c>
      <c r="O43" s="24" t="s">
        <v>137</v>
      </c>
    </row>
    <row r="44" spans="1:15">
      <c r="A44" s="5" t="s">
        <v>26</v>
      </c>
      <c r="B44" t="s">
        <v>59</v>
      </c>
      <c r="C44" s="19">
        <v>42004</v>
      </c>
      <c r="D44" t="s">
        <v>82</v>
      </c>
      <c r="E44">
        <v>15871017770.451366</v>
      </c>
      <c r="N44" s="25" t="s">
        <v>59</v>
      </c>
      <c r="O44" s="24" t="s">
        <v>138</v>
      </c>
    </row>
    <row r="45" spans="1:15">
      <c r="A45" s="5" t="s">
        <v>26</v>
      </c>
      <c r="B45" t="s">
        <v>59</v>
      </c>
      <c r="C45" s="19">
        <v>42216</v>
      </c>
      <c r="D45" t="s">
        <v>89</v>
      </c>
      <c r="E45">
        <v>13735296406.739605</v>
      </c>
      <c r="F45" t="s">
        <v>676</v>
      </c>
      <c r="N45" s="23" t="s">
        <v>55</v>
      </c>
      <c r="O45" s="24" t="s">
        <v>139</v>
      </c>
    </row>
    <row r="46" spans="1:15">
      <c r="A46" s="5" t="s">
        <v>26</v>
      </c>
      <c r="B46" t="s">
        <v>59</v>
      </c>
      <c r="C46" s="19">
        <v>42124</v>
      </c>
      <c r="D46" t="s">
        <v>79</v>
      </c>
      <c r="E46">
        <v>18605125801.768345</v>
      </c>
      <c r="F46" t="s">
        <v>697</v>
      </c>
      <c r="N46" s="25" t="s">
        <v>56</v>
      </c>
      <c r="O46" s="24" t="s">
        <v>140</v>
      </c>
    </row>
    <row r="47" spans="1:15">
      <c r="A47" s="5" t="s">
        <v>26</v>
      </c>
      <c r="B47" t="s">
        <v>57</v>
      </c>
      <c r="C47" s="19">
        <v>41973</v>
      </c>
      <c r="D47" t="s">
        <v>86</v>
      </c>
      <c r="E47">
        <v>13514709167.761057</v>
      </c>
      <c r="F47" t="s">
        <v>493</v>
      </c>
      <c r="N47" s="25" t="s">
        <v>56</v>
      </c>
      <c r="O47" s="24" t="s">
        <v>141</v>
      </c>
    </row>
    <row r="48" spans="1:15">
      <c r="A48" s="5" t="s">
        <v>26</v>
      </c>
      <c r="B48" t="s">
        <v>57</v>
      </c>
      <c r="C48" s="19">
        <v>41912</v>
      </c>
      <c r="D48" t="s">
        <v>81</v>
      </c>
      <c r="E48">
        <v>13771069208.919605</v>
      </c>
      <c r="F48" t="s">
        <v>523</v>
      </c>
      <c r="N48" s="25" t="s">
        <v>56</v>
      </c>
      <c r="O48" s="24" t="s">
        <v>142</v>
      </c>
    </row>
    <row r="49" spans="1:15">
      <c r="A49" s="5" t="s">
        <v>25</v>
      </c>
      <c r="B49" t="s">
        <v>59</v>
      </c>
      <c r="C49" s="19">
        <v>42155</v>
      </c>
      <c r="D49" t="s">
        <v>81</v>
      </c>
      <c r="E49">
        <v>13596246312.112247</v>
      </c>
      <c r="F49" t="s">
        <v>631</v>
      </c>
      <c r="N49" s="25" t="s">
        <v>58</v>
      </c>
      <c r="O49" s="24" t="s">
        <v>143</v>
      </c>
    </row>
    <row r="50" spans="1:15">
      <c r="A50" s="5" t="s">
        <v>25</v>
      </c>
      <c r="B50" t="s">
        <v>55</v>
      </c>
      <c r="C50" s="19">
        <v>41670</v>
      </c>
      <c r="D50" t="s">
        <v>98</v>
      </c>
      <c r="E50">
        <v>13679834288.877926</v>
      </c>
      <c r="F50" t="s">
        <v>214</v>
      </c>
      <c r="N50" s="25" t="s">
        <v>58</v>
      </c>
      <c r="O50" s="24" t="s">
        <v>144</v>
      </c>
    </row>
    <row r="51" spans="1:15">
      <c r="A51" s="5" t="s">
        <v>25</v>
      </c>
      <c r="B51" t="s">
        <v>56</v>
      </c>
      <c r="C51" s="19">
        <v>42063</v>
      </c>
      <c r="D51" t="s">
        <v>74</v>
      </c>
      <c r="E51">
        <v>13805878782.462994</v>
      </c>
      <c r="F51" t="s">
        <v>393</v>
      </c>
      <c r="N51" s="25" t="s">
        <v>57</v>
      </c>
      <c r="O51" s="24" t="s">
        <v>145</v>
      </c>
    </row>
    <row r="52" spans="1:15">
      <c r="A52" s="5" t="s">
        <v>25</v>
      </c>
      <c r="B52" t="s">
        <v>57</v>
      </c>
      <c r="C52" s="19">
        <v>42247</v>
      </c>
      <c r="D52" t="s">
        <v>89</v>
      </c>
      <c r="E52">
        <v>13678502899.318907</v>
      </c>
      <c r="F52" t="s">
        <v>509</v>
      </c>
      <c r="N52" s="25" t="s">
        <v>59</v>
      </c>
      <c r="O52" s="24" t="s">
        <v>146</v>
      </c>
    </row>
    <row r="53" spans="1:15">
      <c r="A53" s="5" t="s">
        <v>25</v>
      </c>
      <c r="B53" t="s">
        <v>57</v>
      </c>
      <c r="C53" s="19">
        <v>41851</v>
      </c>
      <c r="D53" t="s">
        <v>89</v>
      </c>
      <c r="E53">
        <v>13668996223.18895</v>
      </c>
      <c r="F53" t="s">
        <v>490</v>
      </c>
      <c r="N53" s="23" t="s">
        <v>55</v>
      </c>
      <c r="O53" s="24" t="s">
        <v>147</v>
      </c>
    </row>
    <row r="54" spans="1:15">
      <c r="A54" s="5" t="s">
        <v>23</v>
      </c>
      <c r="B54" t="s">
        <v>59</v>
      </c>
      <c r="C54" s="19">
        <v>42185</v>
      </c>
      <c r="D54" t="s">
        <v>88</v>
      </c>
      <c r="E54">
        <v>13936731183.735689</v>
      </c>
      <c r="F54" t="s">
        <v>670</v>
      </c>
      <c r="N54" s="25" t="s">
        <v>56</v>
      </c>
      <c r="O54" s="26" t="s">
        <v>148</v>
      </c>
    </row>
    <row r="55" spans="1:15">
      <c r="A55" s="5" t="s">
        <v>23</v>
      </c>
      <c r="B55" t="s">
        <v>59</v>
      </c>
      <c r="C55" s="19">
        <v>41882</v>
      </c>
      <c r="D55" t="s">
        <v>73</v>
      </c>
      <c r="E55">
        <v>13890039774.372066</v>
      </c>
      <c r="F55" t="s">
        <v>682</v>
      </c>
      <c r="N55" s="25" t="s">
        <v>56</v>
      </c>
      <c r="O55" s="24" t="s">
        <v>149</v>
      </c>
    </row>
    <row r="56" spans="1:15">
      <c r="A56" s="5" t="s">
        <v>23</v>
      </c>
      <c r="B56" t="s">
        <v>55</v>
      </c>
      <c r="C56" s="19">
        <v>41698</v>
      </c>
      <c r="D56" t="s">
        <v>75</v>
      </c>
      <c r="E56">
        <v>18744002336.676361</v>
      </c>
      <c r="F56" t="s">
        <v>303</v>
      </c>
      <c r="N56" s="25" t="s">
        <v>56</v>
      </c>
      <c r="O56" s="24" t="s">
        <v>150</v>
      </c>
    </row>
    <row r="57" spans="1:15">
      <c r="A57" s="5" t="s">
        <v>23</v>
      </c>
      <c r="B57" t="s">
        <v>56</v>
      </c>
      <c r="C57" s="19">
        <v>41670</v>
      </c>
      <c r="D57" t="s">
        <v>83</v>
      </c>
      <c r="E57">
        <v>13510927449.94652</v>
      </c>
      <c r="F57" t="s">
        <v>780</v>
      </c>
      <c r="N57" s="25" t="s">
        <v>56</v>
      </c>
      <c r="O57" s="24" t="s">
        <v>151</v>
      </c>
    </row>
    <row r="58" spans="1:15">
      <c r="A58" s="5" t="s">
        <v>23</v>
      </c>
      <c r="B58" t="s">
        <v>58</v>
      </c>
      <c r="C58" s="19">
        <v>42124</v>
      </c>
      <c r="D58" t="s">
        <v>88</v>
      </c>
      <c r="E58">
        <v>13191381265.547602</v>
      </c>
      <c r="F58" t="s">
        <v>442</v>
      </c>
      <c r="N58" s="25" t="s">
        <v>56</v>
      </c>
      <c r="O58" s="24" t="s">
        <v>152</v>
      </c>
    </row>
    <row r="59" spans="1:15">
      <c r="A59" s="5" t="s">
        <v>30</v>
      </c>
      <c r="B59" t="s">
        <v>55</v>
      </c>
      <c r="C59" s="19">
        <v>41729</v>
      </c>
      <c r="D59" t="s">
        <v>80</v>
      </c>
      <c r="E59">
        <v>15807100284.081753</v>
      </c>
      <c r="F59" t="s">
        <v>232</v>
      </c>
      <c r="N59" s="25" t="s">
        <v>56</v>
      </c>
      <c r="O59" s="24" t="s">
        <v>153</v>
      </c>
    </row>
    <row r="60" spans="1:15">
      <c r="A60" s="5" t="s">
        <v>30</v>
      </c>
      <c r="B60" t="s">
        <v>56</v>
      </c>
      <c r="C60" s="19">
        <v>42004</v>
      </c>
      <c r="D60" t="s">
        <v>74</v>
      </c>
      <c r="E60">
        <v>13645432516.350056</v>
      </c>
      <c r="F60" t="s">
        <v>715</v>
      </c>
      <c r="N60" s="25" t="s">
        <v>58</v>
      </c>
      <c r="O60" s="24" t="s">
        <v>154</v>
      </c>
    </row>
    <row r="61" spans="1:15">
      <c r="A61" s="5" t="s">
        <v>30</v>
      </c>
      <c r="B61" t="s">
        <v>57</v>
      </c>
      <c r="C61" s="19">
        <v>41973</v>
      </c>
      <c r="D61" t="s">
        <v>80</v>
      </c>
      <c r="E61">
        <v>15821165615.226618</v>
      </c>
      <c r="F61" t="s">
        <v>562</v>
      </c>
      <c r="N61" s="25" t="s">
        <v>59</v>
      </c>
      <c r="O61" s="24" t="s">
        <v>155</v>
      </c>
    </row>
    <row r="62" spans="1:15">
      <c r="A62" s="5" t="s">
        <v>30</v>
      </c>
      <c r="B62" t="s">
        <v>57</v>
      </c>
      <c r="C62" s="19">
        <v>41943</v>
      </c>
      <c r="D62" t="s">
        <v>90</v>
      </c>
      <c r="E62">
        <v>18674616117.282093</v>
      </c>
      <c r="F62" t="s">
        <v>546</v>
      </c>
      <c r="N62" s="25" t="s">
        <v>56</v>
      </c>
      <c r="O62" s="24" t="s">
        <v>156</v>
      </c>
    </row>
    <row r="63" spans="1:15">
      <c r="A63" s="5" t="s">
        <v>30</v>
      </c>
      <c r="B63" t="s">
        <v>58</v>
      </c>
      <c r="C63" s="19">
        <v>41973</v>
      </c>
      <c r="D63" t="s">
        <v>88</v>
      </c>
      <c r="E63">
        <v>18778813730.211468</v>
      </c>
      <c r="F63" t="s">
        <v>450</v>
      </c>
      <c r="N63" s="25" t="s">
        <v>56</v>
      </c>
      <c r="O63" s="24" t="s">
        <v>156</v>
      </c>
    </row>
    <row r="64" spans="1:15">
      <c r="A64" s="5" t="s">
        <v>35</v>
      </c>
      <c r="B64" t="s">
        <v>56</v>
      </c>
      <c r="C64" s="19">
        <v>41912</v>
      </c>
      <c r="D64" t="s">
        <v>85</v>
      </c>
      <c r="E64">
        <v>13007706249.688904</v>
      </c>
      <c r="F64" t="s">
        <v>730</v>
      </c>
      <c r="N64" s="25" t="s">
        <v>56</v>
      </c>
      <c r="O64" s="24" t="s">
        <v>157</v>
      </c>
    </row>
    <row r="65" spans="1:15">
      <c r="A65" s="5" t="s">
        <v>35</v>
      </c>
      <c r="B65" t="s">
        <v>56</v>
      </c>
      <c r="C65" s="19">
        <v>42247</v>
      </c>
      <c r="D65" t="s">
        <v>83</v>
      </c>
      <c r="E65">
        <v>13607716151.913958</v>
      </c>
      <c r="F65" t="s">
        <v>840</v>
      </c>
      <c r="N65" s="25" t="s">
        <v>56</v>
      </c>
      <c r="O65" s="24" t="s">
        <v>156</v>
      </c>
    </row>
    <row r="66" spans="1:15">
      <c r="A66" s="5" t="s">
        <v>35</v>
      </c>
      <c r="B66" t="s">
        <v>56</v>
      </c>
      <c r="C66" s="19">
        <v>42155</v>
      </c>
      <c r="D66" t="s">
        <v>80</v>
      </c>
      <c r="E66">
        <v>18613305876.539955</v>
      </c>
      <c r="F66" t="s">
        <v>415</v>
      </c>
      <c r="N66" s="25" t="s">
        <v>56</v>
      </c>
      <c r="O66" s="24" t="s">
        <v>157</v>
      </c>
    </row>
    <row r="67" spans="1:15">
      <c r="A67" s="5" t="s">
        <v>35</v>
      </c>
      <c r="B67" t="s">
        <v>57</v>
      </c>
      <c r="C67" s="19">
        <v>41973</v>
      </c>
      <c r="D67" t="s">
        <v>75</v>
      </c>
      <c r="E67">
        <v>13650960173.11882</v>
      </c>
      <c r="F67" t="s">
        <v>503</v>
      </c>
      <c r="N67" s="25" t="s">
        <v>58</v>
      </c>
      <c r="O67" s="24" t="s">
        <v>158</v>
      </c>
    </row>
    <row r="68" spans="1:15">
      <c r="A68" s="5" t="s">
        <v>35</v>
      </c>
      <c r="B68" t="s">
        <v>58</v>
      </c>
      <c r="C68" s="19">
        <v>41759</v>
      </c>
      <c r="D68" t="s">
        <v>84</v>
      </c>
      <c r="E68">
        <v>18783578897.15144</v>
      </c>
      <c r="F68" t="s">
        <v>810</v>
      </c>
      <c r="N68" s="25" t="s">
        <v>58</v>
      </c>
      <c r="O68" s="24" t="s">
        <v>159</v>
      </c>
    </row>
    <row r="69" spans="1:15">
      <c r="A69" s="5" t="s">
        <v>27</v>
      </c>
      <c r="B69" t="s">
        <v>55</v>
      </c>
      <c r="C69" s="19">
        <v>41973</v>
      </c>
      <c r="D69" t="s">
        <v>88</v>
      </c>
      <c r="E69">
        <v>13096905258.615559</v>
      </c>
      <c r="F69" t="s">
        <v>274</v>
      </c>
      <c r="N69" s="25" t="s">
        <v>57</v>
      </c>
      <c r="O69" s="24" t="s">
        <v>160</v>
      </c>
    </row>
    <row r="70" spans="1:15">
      <c r="A70" s="5" t="s">
        <v>27</v>
      </c>
      <c r="B70" t="s">
        <v>56</v>
      </c>
      <c r="C70" s="19">
        <v>42094</v>
      </c>
      <c r="D70" t="s">
        <v>75</v>
      </c>
      <c r="E70">
        <v>13717626856.321377</v>
      </c>
      <c r="F70" t="s">
        <v>408</v>
      </c>
      <c r="N70" s="23" t="s">
        <v>55</v>
      </c>
      <c r="O70" s="24" t="s">
        <v>161</v>
      </c>
    </row>
    <row r="71" spans="1:15">
      <c r="A71" s="5" t="s">
        <v>27</v>
      </c>
      <c r="B71" t="s">
        <v>58</v>
      </c>
      <c r="C71" s="19">
        <v>42124</v>
      </c>
      <c r="D71" t="s">
        <v>78</v>
      </c>
      <c r="E71">
        <v>13151745642.283781</v>
      </c>
      <c r="F71" t="s">
        <v>738</v>
      </c>
      <c r="N71" s="23" t="s">
        <v>55</v>
      </c>
      <c r="O71" s="24" t="s">
        <v>162</v>
      </c>
    </row>
    <row r="72" spans="1:15">
      <c r="A72" s="5" t="s">
        <v>27</v>
      </c>
      <c r="B72" t="s">
        <v>58</v>
      </c>
      <c r="C72" s="19">
        <v>41820</v>
      </c>
      <c r="D72" t="s">
        <v>73</v>
      </c>
      <c r="E72">
        <v>13105076612.786554</v>
      </c>
      <c r="F72" t="s">
        <v>458</v>
      </c>
      <c r="N72" s="23" t="s">
        <v>55</v>
      </c>
      <c r="O72" s="24" t="s">
        <v>163</v>
      </c>
    </row>
    <row r="73" spans="1:15">
      <c r="A73" s="5" t="s">
        <v>27</v>
      </c>
      <c r="B73" t="s">
        <v>58</v>
      </c>
      <c r="C73" s="19">
        <v>42094</v>
      </c>
      <c r="D73" t="s">
        <v>77</v>
      </c>
      <c r="E73">
        <v>13071992330.123407</v>
      </c>
      <c r="F73" t="s">
        <v>473</v>
      </c>
      <c r="N73" s="23" t="s">
        <v>55</v>
      </c>
      <c r="O73" s="24" t="s">
        <v>164</v>
      </c>
    </row>
    <row r="74" spans="1:15">
      <c r="A74" s="5" t="s">
        <v>36</v>
      </c>
      <c r="B74" t="s">
        <v>59</v>
      </c>
      <c r="C74" s="19">
        <v>42124</v>
      </c>
      <c r="D74" t="s">
        <v>89</v>
      </c>
      <c r="E74">
        <v>13644030144.943163</v>
      </c>
      <c r="F74" t="s">
        <v>633</v>
      </c>
      <c r="N74" s="25" t="s">
        <v>58</v>
      </c>
      <c r="O74" s="24" t="s">
        <v>165</v>
      </c>
    </row>
    <row r="75" spans="1:15">
      <c r="A75" s="5" t="s">
        <v>36</v>
      </c>
      <c r="B75" t="s">
        <v>55</v>
      </c>
      <c r="C75" s="19">
        <v>42124</v>
      </c>
      <c r="D75" t="s">
        <v>88</v>
      </c>
      <c r="E75">
        <v>15829446802.858368</v>
      </c>
      <c r="F75" t="s">
        <v>313</v>
      </c>
      <c r="N75" s="25" t="s">
        <v>58</v>
      </c>
      <c r="O75" s="24" t="s">
        <v>166</v>
      </c>
    </row>
    <row r="76" spans="1:15">
      <c r="A76" s="5" t="s">
        <v>36</v>
      </c>
      <c r="B76" t="s">
        <v>57</v>
      </c>
      <c r="C76" s="19">
        <v>41639</v>
      </c>
      <c r="D76" t="s">
        <v>74</v>
      </c>
      <c r="E76">
        <v>13181754764.463924</v>
      </c>
      <c r="F76" t="s">
        <v>516</v>
      </c>
      <c r="N76" s="25" t="s">
        <v>58</v>
      </c>
      <c r="O76" s="24" t="s">
        <v>167</v>
      </c>
    </row>
    <row r="77" spans="1:15">
      <c r="A77" s="5" t="s">
        <v>36</v>
      </c>
      <c r="B77" t="s">
        <v>58</v>
      </c>
      <c r="C77" s="19">
        <v>41943</v>
      </c>
      <c r="D77" t="s">
        <v>82</v>
      </c>
      <c r="E77">
        <v>13140200281.486938</v>
      </c>
      <c r="F77" t="s">
        <v>853</v>
      </c>
      <c r="N77" s="25" t="s">
        <v>58</v>
      </c>
      <c r="O77" s="24" t="s">
        <v>168</v>
      </c>
    </row>
    <row r="78" spans="1:15">
      <c r="A78" s="5" t="s">
        <v>36</v>
      </c>
      <c r="B78" t="s">
        <v>58</v>
      </c>
      <c r="C78" s="19">
        <v>41729</v>
      </c>
      <c r="D78" t="s">
        <v>80</v>
      </c>
      <c r="E78">
        <v>15899182893.030703</v>
      </c>
      <c r="F78" t="s">
        <v>444</v>
      </c>
      <c r="N78" s="25" t="s">
        <v>58</v>
      </c>
      <c r="O78" s="24" t="s">
        <v>169</v>
      </c>
    </row>
    <row r="79" spans="1:15">
      <c r="A79" s="5"/>
      <c r="N79" s="25" t="s">
        <v>58</v>
      </c>
      <c r="O79" s="24" t="s">
        <v>170</v>
      </c>
    </row>
    <row r="80" spans="1:15">
      <c r="N80" s="25" t="s">
        <v>58</v>
      </c>
      <c r="O80" s="24" t="s">
        <v>171</v>
      </c>
    </row>
    <row r="81" spans="14:15">
      <c r="N81" s="25" t="s">
        <v>57</v>
      </c>
      <c r="O81" s="24" t="s">
        <v>172</v>
      </c>
    </row>
    <row r="82" spans="14:15">
      <c r="N82" s="25" t="s">
        <v>59</v>
      </c>
      <c r="O82" s="24" t="s">
        <v>173</v>
      </c>
    </row>
    <row r="83" spans="14:15">
      <c r="N83" s="25" t="s">
        <v>59</v>
      </c>
      <c r="O83" s="24" t="s">
        <v>174</v>
      </c>
    </row>
    <row r="84" spans="14:15">
      <c r="N84" s="23" t="s">
        <v>55</v>
      </c>
      <c r="O84" s="24" t="s">
        <v>175</v>
      </c>
    </row>
    <row r="85" spans="14:15">
      <c r="N85" s="25" t="s">
        <v>58</v>
      </c>
      <c r="O85" s="24" t="s">
        <v>176</v>
      </c>
    </row>
    <row r="86" spans="14:15">
      <c r="N86" s="23" t="s">
        <v>55</v>
      </c>
      <c r="O86" s="24" t="s">
        <v>177</v>
      </c>
    </row>
    <row r="87" spans="14:15">
      <c r="N87" s="23" t="s">
        <v>55</v>
      </c>
      <c r="O87" s="24" t="s">
        <v>178</v>
      </c>
    </row>
    <row r="88" spans="14:15">
      <c r="N88" s="25" t="s">
        <v>58</v>
      </c>
      <c r="O88" s="24" t="s">
        <v>179</v>
      </c>
    </row>
    <row r="89" spans="14:15">
      <c r="N89" s="25" t="s">
        <v>58</v>
      </c>
      <c r="O89" s="24" t="s">
        <v>180</v>
      </c>
    </row>
    <row r="90" spans="14:15">
      <c r="N90" s="25" t="s">
        <v>57</v>
      </c>
      <c r="O90" s="24" t="s">
        <v>181</v>
      </c>
    </row>
    <row r="91" spans="14:15">
      <c r="N91" s="25" t="s">
        <v>59</v>
      </c>
      <c r="O91" s="24" t="s">
        <v>182</v>
      </c>
    </row>
    <row r="92" spans="14:15">
      <c r="N92" s="23" t="s">
        <v>55</v>
      </c>
      <c r="O92" s="24" t="s">
        <v>183</v>
      </c>
    </row>
    <row r="93" spans="14:15">
      <c r="N93" s="23" t="s">
        <v>55</v>
      </c>
      <c r="O93" s="24" t="s">
        <v>184</v>
      </c>
    </row>
    <row r="94" spans="14:15">
      <c r="N94" s="25" t="s">
        <v>56</v>
      </c>
      <c r="O94" s="24" t="s">
        <v>185</v>
      </c>
    </row>
    <row r="95" spans="14:15">
      <c r="N95" s="25" t="s">
        <v>58</v>
      </c>
      <c r="O95" s="24" t="s">
        <v>186</v>
      </c>
    </row>
    <row r="96" spans="14:15">
      <c r="N96" s="25" t="s">
        <v>58</v>
      </c>
      <c r="O96" s="24" t="s">
        <v>187</v>
      </c>
    </row>
    <row r="97" spans="14:15">
      <c r="N97" s="25" t="s">
        <v>59</v>
      </c>
      <c r="O97" s="24" t="s">
        <v>188</v>
      </c>
    </row>
  </sheetData>
  <sortState ref="A4:F78">
    <sortCondition ref="A4:A78"/>
    <sortCondition ref="B4:B78"/>
  </sortState>
  <mergeCells count="1">
    <mergeCell ref="H2:L2"/>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生成意见">
                <anchor moveWithCells="1" sizeWithCells="1">
                  <from>
                    <xdr:col>5</xdr:col>
                    <xdr:colOff>28575</xdr:colOff>
                    <xdr:row>0</xdr:row>
                    <xdr:rowOff>123825</xdr:rowOff>
                  </from>
                  <to>
                    <xdr:col>5</xdr:col>
                    <xdr:colOff>676275</xdr:colOff>
                    <xdr:row>1</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704"/>
  <sheetViews>
    <sheetView topLeftCell="A256" workbookViewId="0">
      <selection activeCell="C286" sqref="C286"/>
    </sheetView>
  </sheetViews>
  <sheetFormatPr defaultRowHeight="13.5"/>
  <cols>
    <col min="1" max="1" width="13.125" bestFit="1" customWidth="1"/>
    <col min="2" max="2" width="17.75" style="27" bestFit="1" customWidth="1"/>
    <col min="3" max="3" width="15" style="29" customWidth="1"/>
    <col min="4" max="4" width="70.75" style="29" customWidth="1"/>
  </cols>
  <sheetData>
    <row r="1" spans="1:2">
      <c r="A1" t="s">
        <v>190</v>
      </c>
      <c r="B1" t="s">
        <v>432</v>
      </c>
    </row>
    <row r="2" spans="1:2">
      <c r="A2" t="s">
        <v>190</v>
      </c>
      <c r="B2" t="s">
        <v>433</v>
      </c>
    </row>
    <row r="3" spans="1:2">
      <c r="A3" t="s">
        <v>190</v>
      </c>
      <c r="B3" t="s">
        <v>434</v>
      </c>
    </row>
    <row r="4" spans="1:2">
      <c r="A4" t="s">
        <v>190</v>
      </c>
      <c r="B4" t="s">
        <v>435</v>
      </c>
    </row>
    <row r="5" spans="1:2">
      <c r="A5" t="s">
        <v>190</v>
      </c>
      <c r="B5" t="s">
        <v>436</v>
      </c>
    </row>
    <row r="6" spans="1:2">
      <c r="A6" t="s">
        <v>190</v>
      </c>
      <c r="B6" t="s">
        <v>437</v>
      </c>
    </row>
    <row r="7" spans="1:2">
      <c r="A7" t="s">
        <v>190</v>
      </c>
      <c r="B7" t="s">
        <v>438</v>
      </c>
    </row>
    <row r="8" spans="1:2">
      <c r="A8" t="s">
        <v>190</v>
      </c>
      <c r="B8" t="s">
        <v>439</v>
      </c>
    </row>
    <row r="9" spans="1:2">
      <c r="A9" t="s">
        <v>190</v>
      </c>
      <c r="B9" t="s">
        <v>440</v>
      </c>
    </row>
    <row r="10" spans="1:2">
      <c r="A10" t="s">
        <v>190</v>
      </c>
      <c r="B10" t="s">
        <v>441</v>
      </c>
    </row>
    <row r="11" spans="1:2">
      <c r="A11" t="s">
        <v>190</v>
      </c>
      <c r="B11" t="s">
        <v>442</v>
      </c>
    </row>
    <row r="12" spans="1:2">
      <c r="A12" t="s">
        <v>190</v>
      </c>
      <c r="B12" t="s">
        <v>443</v>
      </c>
    </row>
    <row r="13" spans="1:2">
      <c r="A13" t="s">
        <v>190</v>
      </c>
      <c r="B13" t="s">
        <v>444</v>
      </c>
    </row>
    <row r="14" spans="1:2">
      <c r="A14" t="s">
        <v>190</v>
      </c>
      <c r="B14" t="s">
        <v>445</v>
      </c>
    </row>
    <row r="15" spans="1:2">
      <c r="A15" t="s">
        <v>190</v>
      </c>
      <c r="B15" t="s">
        <v>446</v>
      </c>
    </row>
    <row r="16" spans="1:2">
      <c r="A16" t="s">
        <v>190</v>
      </c>
      <c r="B16" t="s">
        <v>447</v>
      </c>
    </row>
    <row r="17" spans="1:2">
      <c r="A17" t="s">
        <v>190</v>
      </c>
      <c r="B17" t="s">
        <v>448</v>
      </c>
    </row>
    <row r="18" spans="1:2">
      <c r="A18" t="s">
        <v>190</v>
      </c>
      <c r="B18" t="s">
        <v>449</v>
      </c>
    </row>
    <row r="19" spans="1:2">
      <c r="A19" t="s">
        <v>190</v>
      </c>
      <c r="B19" t="s">
        <v>450</v>
      </c>
    </row>
    <row r="20" spans="1:2">
      <c r="A20" t="s">
        <v>190</v>
      </c>
      <c r="B20" t="s">
        <v>451</v>
      </c>
    </row>
    <row r="21" spans="1:2">
      <c r="A21" t="s">
        <v>190</v>
      </c>
      <c r="B21" t="s">
        <v>452</v>
      </c>
    </row>
    <row r="22" spans="1:2">
      <c r="A22" t="s">
        <v>190</v>
      </c>
      <c r="B22" t="s">
        <v>453</v>
      </c>
    </row>
    <row r="23" spans="1:2">
      <c r="A23" t="s">
        <v>190</v>
      </c>
      <c r="B23" t="s">
        <v>454</v>
      </c>
    </row>
    <row r="24" spans="1:2">
      <c r="A24" t="s">
        <v>190</v>
      </c>
      <c r="B24" t="s">
        <v>455</v>
      </c>
    </row>
    <row r="25" spans="1:2">
      <c r="A25" t="s">
        <v>190</v>
      </c>
      <c r="B25" t="s">
        <v>456</v>
      </c>
    </row>
    <row r="26" spans="1:2">
      <c r="A26" t="s">
        <v>190</v>
      </c>
      <c r="B26" t="s">
        <v>457</v>
      </c>
    </row>
    <row r="27" spans="1:2">
      <c r="A27" t="s">
        <v>190</v>
      </c>
      <c r="B27" t="s">
        <v>458</v>
      </c>
    </row>
    <row r="28" spans="1:2">
      <c r="A28" t="s">
        <v>190</v>
      </c>
      <c r="B28" t="s">
        <v>459</v>
      </c>
    </row>
    <row r="29" spans="1:2">
      <c r="A29" t="s">
        <v>190</v>
      </c>
      <c r="B29" t="s">
        <v>460</v>
      </c>
    </row>
    <row r="30" spans="1:2">
      <c r="A30" t="s">
        <v>190</v>
      </c>
      <c r="B30" t="s">
        <v>461</v>
      </c>
    </row>
    <row r="31" spans="1:2">
      <c r="A31" t="s">
        <v>190</v>
      </c>
      <c r="B31" t="s">
        <v>462</v>
      </c>
    </row>
    <row r="32" spans="1:2">
      <c r="A32" t="s">
        <v>190</v>
      </c>
      <c r="B32" t="s">
        <v>463</v>
      </c>
    </row>
    <row r="33" spans="1:6">
      <c r="A33" t="s">
        <v>190</v>
      </c>
      <c r="B33" t="s">
        <v>464</v>
      </c>
    </row>
    <row r="34" spans="1:6">
      <c r="A34" t="s">
        <v>190</v>
      </c>
      <c r="B34" t="s">
        <v>465</v>
      </c>
    </row>
    <row r="35" spans="1:6">
      <c r="A35" t="s">
        <v>190</v>
      </c>
      <c r="B35" t="s">
        <v>466</v>
      </c>
    </row>
    <row r="36" spans="1:6">
      <c r="A36" t="s">
        <v>190</v>
      </c>
      <c r="B36" t="s">
        <v>467</v>
      </c>
    </row>
    <row r="37" spans="1:6">
      <c r="A37" t="s">
        <v>190</v>
      </c>
      <c r="B37" t="s">
        <v>468</v>
      </c>
    </row>
    <row r="38" spans="1:6">
      <c r="A38" t="s">
        <v>190</v>
      </c>
      <c r="B38" t="s">
        <v>469</v>
      </c>
    </row>
    <row r="39" spans="1:6">
      <c r="A39" t="s">
        <v>190</v>
      </c>
      <c r="B39" t="s">
        <v>470</v>
      </c>
    </row>
    <row r="40" spans="1:6">
      <c r="A40" t="s">
        <v>190</v>
      </c>
      <c r="B40" t="s">
        <v>471</v>
      </c>
    </row>
    <row r="41" spans="1:6">
      <c r="A41" t="s">
        <v>190</v>
      </c>
      <c r="B41" t="s">
        <v>472</v>
      </c>
    </row>
    <row r="42" spans="1:6">
      <c r="A42" t="s">
        <v>190</v>
      </c>
      <c r="B42" t="s">
        <v>473</v>
      </c>
    </row>
    <row r="43" spans="1:6">
      <c r="A43" t="s">
        <v>190</v>
      </c>
      <c r="B43"/>
      <c r="F43" t="s">
        <v>336</v>
      </c>
    </row>
    <row r="44" spans="1:6">
      <c r="A44" t="s">
        <v>190</v>
      </c>
      <c r="B44" t="s">
        <v>474</v>
      </c>
    </row>
    <row r="45" spans="1:6">
      <c r="A45" t="s">
        <v>190</v>
      </c>
      <c r="B45" t="s">
        <v>475</v>
      </c>
    </row>
    <row r="46" spans="1:6">
      <c r="A46" t="s">
        <v>190</v>
      </c>
      <c r="B46" t="s">
        <v>476</v>
      </c>
    </row>
    <row r="47" spans="1:6">
      <c r="A47" t="s">
        <v>190</v>
      </c>
      <c r="B47" t="s">
        <v>477</v>
      </c>
    </row>
    <row r="48" spans="1:6">
      <c r="A48" t="s">
        <v>190</v>
      </c>
      <c r="B48" t="s">
        <v>478</v>
      </c>
    </row>
    <row r="49" spans="1:2">
      <c r="A49" t="s">
        <v>190</v>
      </c>
      <c r="B49" t="s">
        <v>479</v>
      </c>
    </row>
    <row r="50" spans="1:2">
      <c r="A50" t="s">
        <v>190</v>
      </c>
      <c r="B50" t="s">
        <v>480</v>
      </c>
    </row>
    <row r="51" spans="1:2">
      <c r="A51" t="s">
        <v>190</v>
      </c>
      <c r="B51" t="s">
        <v>481</v>
      </c>
    </row>
    <row r="52" spans="1:2">
      <c r="A52" t="s">
        <v>190</v>
      </c>
      <c r="B52" t="s">
        <v>482</v>
      </c>
    </row>
    <row r="53" spans="1:2">
      <c r="A53" t="s">
        <v>190</v>
      </c>
      <c r="B53" t="s">
        <v>483</v>
      </c>
    </row>
    <row r="54" spans="1:2">
      <c r="A54" t="s">
        <v>190</v>
      </c>
      <c r="B54" t="s">
        <v>484</v>
      </c>
    </row>
    <row r="55" spans="1:2">
      <c r="A55" t="s">
        <v>190</v>
      </c>
      <c r="B55" t="s">
        <v>485</v>
      </c>
    </row>
    <row r="56" spans="1:2">
      <c r="A56" t="s">
        <v>190</v>
      </c>
      <c r="B56" t="s">
        <v>486</v>
      </c>
    </row>
    <row r="57" spans="1:2">
      <c r="A57" t="s">
        <v>190</v>
      </c>
      <c r="B57" t="s">
        <v>487</v>
      </c>
    </row>
    <row r="58" spans="1:2">
      <c r="A58" t="s">
        <v>190</v>
      </c>
      <c r="B58" t="s">
        <v>488</v>
      </c>
    </row>
    <row r="59" spans="1:2">
      <c r="A59" t="s">
        <v>190</v>
      </c>
      <c r="B59" t="s">
        <v>489</v>
      </c>
    </row>
    <row r="60" spans="1:2">
      <c r="A60" t="s">
        <v>718</v>
      </c>
      <c r="B60" t="s">
        <v>719</v>
      </c>
    </row>
    <row r="61" spans="1:2">
      <c r="A61" t="s">
        <v>718</v>
      </c>
      <c r="B61" t="s">
        <v>736</v>
      </c>
    </row>
    <row r="62" spans="1:2">
      <c r="A62" t="s">
        <v>718</v>
      </c>
      <c r="B62" t="s">
        <v>737</v>
      </c>
    </row>
    <row r="63" spans="1:2">
      <c r="A63" t="s">
        <v>718</v>
      </c>
      <c r="B63" t="s">
        <v>738</v>
      </c>
    </row>
    <row r="64" spans="1:2">
      <c r="A64" t="s">
        <v>718</v>
      </c>
      <c r="B64" t="s">
        <v>739</v>
      </c>
    </row>
    <row r="65" spans="1:2">
      <c r="A65" t="s">
        <v>718</v>
      </c>
      <c r="B65" t="s">
        <v>740</v>
      </c>
    </row>
    <row r="66" spans="1:2">
      <c r="A66" t="s">
        <v>718</v>
      </c>
      <c r="B66" t="s">
        <v>741</v>
      </c>
    </row>
    <row r="67" spans="1:2">
      <c r="A67" t="s">
        <v>718</v>
      </c>
      <c r="B67" t="s">
        <v>752</v>
      </c>
    </row>
    <row r="68" spans="1:2">
      <c r="A68" t="s">
        <v>718</v>
      </c>
      <c r="B68" t="s">
        <v>753</v>
      </c>
    </row>
    <row r="69" spans="1:2">
      <c r="A69" t="s">
        <v>718</v>
      </c>
      <c r="B69" t="s">
        <v>754</v>
      </c>
    </row>
    <row r="70" spans="1:2">
      <c r="A70" t="s">
        <v>718</v>
      </c>
      <c r="B70" t="s">
        <v>755</v>
      </c>
    </row>
    <row r="71" spans="1:2">
      <c r="A71" t="s">
        <v>718</v>
      </c>
      <c r="B71" t="s">
        <v>756</v>
      </c>
    </row>
    <row r="72" spans="1:2">
      <c r="A72" t="s">
        <v>718</v>
      </c>
      <c r="B72" t="s">
        <v>759</v>
      </c>
    </row>
    <row r="73" spans="1:2">
      <c r="A73" t="s">
        <v>718</v>
      </c>
      <c r="B73" t="s">
        <v>760</v>
      </c>
    </row>
    <row r="74" spans="1:2">
      <c r="A74" t="s">
        <v>718</v>
      </c>
      <c r="B74" t="s">
        <v>761</v>
      </c>
    </row>
    <row r="75" spans="1:2">
      <c r="A75" t="s">
        <v>718</v>
      </c>
      <c r="B75" t="s">
        <v>762</v>
      </c>
    </row>
    <row r="76" spans="1:2">
      <c r="A76" t="s">
        <v>718</v>
      </c>
      <c r="B76" t="s">
        <v>765</v>
      </c>
    </row>
    <row r="77" spans="1:2">
      <c r="A77" t="s">
        <v>718</v>
      </c>
      <c r="B77" t="s">
        <v>766</v>
      </c>
    </row>
    <row r="78" spans="1:2">
      <c r="A78" t="s">
        <v>718</v>
      </c>
      <c r="B78" t="s">
        <v>772</v>
      </c>
    </row>
    <row r="79" spans="1:2">
      <c r="A79" t="s">
        <v>718</v>
      </c>
      <c r="B79" t="s">
        <v>782</v>
      </c>
    </row>
    <row r="80" spans="1:2">
      <c r="A80" t="s">
        <v>718</v>
      </c>
      <c r="B80" t="s">
        <v>783</v>
      </c>
    </row>
    <row r="81" spans="1:2">
      <c r="A81" t="s">
        <v>718</v>
      </c>
      <c r="B81" t="s">
        <v>784</v>
      </c>
    </row>
    <row r="82" spans="1:2">
      <c r="A82" t="s">
        <v>718</v>
      </c>
      <c r="B82" t="s">
        <v>790</v>
      </c>
    </row>
    <row r="83" spans="1:2">
      <c r="A83" t="s">
        <v>718</v>
      </c>
      <c r="B83" t="s">
        <v>791</v>
      </c>
    </row>
    <row r="84" spans="1:2">
      <c r="A84" t="s">
        <v>718</v>
      </c>
      <c r="B84" t="s">
        <v>792</v>
      </c>
    </row>
    <row r="85" spans="1:2">
      <c r="A85" t="s">
        <v>718</v>
      </c>
      <c r="B85" t="s">
        <v>793</v>
      </c>
    </row>
    <row r="86" spans="1:2">
      <c r="A86" t="s">
        <v>718</v>
      </c>
      <c r="B86" t="s">
        <v>794</v>
      </c>
    </row>
    <row r="87" spans="1:2">
      <c r="A87" t="s">
        <v>718</v>
      </c>
      <c r="B87" t="s">
        <v>798</v>
      </c>
    </row>
    <row r="88" spans="1:2">
      <c r="A88" t="s">
        <v>718</v>
      </c>
      <c r="B88" t="s">
        <v>799</v>
      </c>
    </row>
    <row r="89" spans="1:2">
      <c r="A89" t="s">
        <v>718</v>
      </c>
      <c r="B89" t="s">
        <v>800</v>
      </c>
    </row>
    <row r="90" spans="1:2">
      <c r="A90" t="s">
        <v>718</v>
      </c>
      <c r="B90" t="s">
        <v>801</v>
      </c>
    </row>
    <row r="91" spans="1:2">
      <c r="A91" t="s">
        <v>718</v>
      </c>
      <c r="B91" t="s">
        <v>804</v>
      </c>
    </row>
    <row r="92" spans="1:2">
      <c r="A92" t="s">
        <v>718</v>
      </c>
      <c r="B92" t="s">
        <v>806</v>
      </c>
    </row>
    <row r="93" spans="1:2">
      <c r="A93" t="s">
        <v>718</v>
      </c>
      <c r="B93" t="s">
        <v>807</v>
      </c>
    </row>
    <row r="94" spans="1:2">
      <c r="A94" t="s">
        <v>718</v>
      </c>
      <c r="B94" t="s">
        <v>808</v>
      </c>
    </row>
    <row r="95" spans="1:2">
      <c r="A95" t="s">
        <v>718</v>
      </c>
      <c r="B95" t="s">
        <v>809</v>
      </c>
    </row>
    <row r="96" spans="1:2">
      <c r="A96" t="s">
        <v>718</v>
      </c>
      <c r="B96" t="s">
        <v>810</v>
      </c>
    </row>
    <row r="97" spans="1:2">
      <c r="A97" t="s">
        <v>718</v>
      </c>
      <c r="B97" t="s">
        <v>813</v>
      </c>
    </row>
    <row r="98" spans="1:2">
      <c r="A98" t="s">
        <v>718</v>
      </c>
      <c r="B98" t="s">
        <v>814</v>
      </c>
    </row>
    <row r="99" spans="1:2">
      <c r="A99" t="s">
        <v>718</v>
      </c>
      <c r="B99" t="s">
        <v>815</v>
      </c>
    </row>
    <row r="100" spans="1:2">
      <c r="A100" t="s">
        <v>718</v>
      </c>
      <c r="B100" t="s">
        <v>816</v>
      </c>
    </row>
    <row r="101" spans="1:2">
      <c r="A101" t="s">
        <v>718</v>
      </c>
      <c r="B101" t="s">
        <v>817</v>
      </c>
    </row>
    <row r="102" spans="1:2">
      <c r="A102" t="s">
        <v>718</v>
      </c>
      <c r="B102" t="s">
        <v>818</v>
      </c>
    </row>
    <row r="103" spans="1:2">
      <c r="A103" t="s">
        <v>718</v>
      </c>
      <c r="B103" t="s">
        <v>819</v>
      </c>
    </row>
    <row r="104" spans="1:2">
      <c r="A104" t="s">
        <v>718</v>
      </c>
      <c r="B104" t="s">
        <v>820</v>
      </c>
    </row>
    <row r="105" spans="1:2">
      <c r="A105" t="s">
        <v>718</v>
      </c>
      <c r="B105" t="s">
        <v>826</v>
      </c>
    </row>
    <row r="106" spans="1:2">
      <c r="A106" t="s">
        <v>718</v>
      </c>
      <c r="B106" t="s">
        <v>827</v>
      </c>
    </row>
    <row r="107" spans="1:2">
      <c r="A107" t="s">
        <v>718</v>
      </c>
      <c r="B107" t="s">
        <v>828</v>
      </c>
    </row>
    <row r="108" spans="1:2">
      <c r="A108" t="s">
        <v>718</v>
      </c>
      <c r="B108" t="s">
        <v>829</v>
      </c>
    </row>
    <row r="109" spans="1:2">
      <c r="A109" t="s">
        <v>718</v>
      </c>
      <c r="B109" t="s">
        <v>830</v>
      </c>
    </row>
    <row r="110" spans="1:2">
      <c r="A110" t="s">
        <v>718</v>
      </c>
      <c r="B110" t="s">
        <v>834</v>
      </c>
    </row>
    <row r="111" spans="1:2">
      <c r="A111" t="s">
        <v>718</v>
      </c>
      <c r="B111" t="s">
        <v>841</v>
      </c>
    </row>
    <row r="112" spans="1:2">
      <c r="A112" t="s">
        <v>718</v>
      </c>
      <c r="B112" t="s">
        <v>842</v>
      </c>
    </row>
    <row r="113" spans="1:2">
      <c r="A113" t="s">
        <v>718</v>
      </c>
      <c r="B113" t="s">
        <v>843</v>
      </c>
    </row>
    <row r="114" spans="1:2">
      <c r="A114" t="s">
        <v>718</v>
      </c>
      <c r="B114" t="s">
        <v>845</v>
      </c>
    </row>
    <row r="115" spans="1:2">
      <c r="A115" t="s">
        <v>718</v>
      </c>
      <c r="B115" t="s">
        <v>848</v>
      </c>
    </row>
    <row r="116" spans="1:2">
      <c r="A116" t="s">
        <v>718</v>
      </c>
      <c r="B116" t="s">
        <v>849</v>
      </c>
    </row>
    <row r="117" spans="1:2">
      <c r="A117" t="s">
        <v>718</v>
      </c>
      <c r="B117" t="s">
        <v>853</v>
      </c>
    </row>
    <row r="118" spans="1:2">
      <c r="A118" t="s">
        <v>718</v>
      </c>
      <c r="B118" t="s">
        <v>854</v>
      </c>
    </row>
    <row r="119" spans="1:2">
      <c r="A119" t="s">
        <v>718</v>
      </c>
      <c r="B119" t="s">
        <v>855</v>
      </c>
    </row>
    <row r="120" spans="1:2">
      <c r="A120" t="s">
        <v>718</v>
      </c>
      <c r="B120" t="s">
        <v>856</v>
      </c>
    </row>
    <row r="121" spans="1:2">
      <c r="A121" t="s">
        <v>718</v>
      </c>
      <c r="B121" t="s">
        <v>858</v>
      </c>
    </row>
    <row r="122" spans="1:2">
      <c r="A122" t="s">
        <v>718</v>
      </c>
      <c r="B122" t="s">
        <v>859</v>
      </c>
    </row>
    <row r="123" spans="1:2">
      <c r="A123" t="s">
        <v>718</v>
      </c>
      <c r="B123" t="s">
        <v>866</v>
      </c>
    </row>
    <row r="124" spans="1:2">
      <c r="A124" t="s">
        <v>718</v>
      </c>
      <c r="B124" t="s">
        <v>867</v>
      </c>
    </row>
    <row r="125" spans="1:2">
      <c r="A125" t="s">
        <v>718</v>
      </c>
      <c r="B125" t="s">
        <v>869</v>
      </c>
    </row>
    <row r="126" spans="1:2">
      <c r="A126" t="s">
        <v>718</v>
      </c>
      <c r="B126" t="s">
        <v>870</v>
      </c>
    </row>
    <row r="127" spans="1:2">
      <c r="A127" t="s">
        <v>718</v>
      </c>
      <c r="B127" t="s">
        <v>873</v>
      </c>
    </row>
    <row r="128" spans="1:2">
      <c r="A128" t="s">
        <v>57</v>
      </c>
      <c r="B128" t="s">
        <v>490</v>
      </c>
    </row>
    <row r="129" spans="1:2">
      <c r="A129" t="s">
        <v>57</v>
      </c>
      <c r="B129" t="s">
        <v>491</v>
      </c>
    </row>
    <row r="130" spans="1:2">
      <c r="A130" t="s">
        <v>57</v>
      </c>
      <c r="B130" t="s">
        <v>492</v>
      </c>
    </row>
    <row r="131" spans="1:2">
      <c r="A131" t="s">
        <v>57</v>
      </c>
      <c r="B131" t="s">
        <v>493</v>
      </c>
    </row>
    <row r="132" spans="1:2">
      <c r="A132" t="s">
        <v>57</v>
      </c>
      <c r="B132" t="s">
        <v>494</v>
      </c>
    </row>
    <row r="133" spans="1:2">
      <c r="A133" t="s">
        <v>57</v>
      </c>
      <c r="B133" t="s">
        <v>495</v>
      </c>
    </row>
    <row r="134" spans="1:2">
      <c r="A134" t="s">
        <v>57</v>
      </c>
      <c r="B134" t="s">
        <v>495</v>
      </c>
    </row>
    <row r="135" spans="1:2">
      <c r="A135" t="s">
        <v>57</v>
      </c>
      <c r="B135" t="s">
        <v>496</v>
      </c>
    </row>
    <row r="136" spans="1:2">
      <c r="A136" t="s">
        <v>57</v>
      </c>
      <c r="B136" t="s">
        <v>497</v>
      </c>
    </row>
    <row r="137" spans="1:2">
      <c r="A137" t="s">
        <v>57</v>
      </c>
      <c r="B137" t="s">
        <v>498</v>
      </c>
    </row>
    <row r="138" spans="1:2">
      <c r="A138" t="s">
        <v>57</v>
      </c>
      <c r="B138" t="s">
        <v>499</v>
      </c>
    </row>
    <row r="139" spans="1:2">
      <c r="A139" t="s">
        <v>57</v>
      </c>
      <c r="B139" t="s">
        <v>500</v>
      </c>
    </row>
    <row r="140" spans="1:2">
      <c r="A140" t="s">
        <v>57</v>
      </c>
      <c r="B140" t="s">
        <v>501</v>
      </c>
    </row>
    <row r="141" spans="1:2">
      <c r="A141" t="s">
        <v>57</v>
      </c>
      <c r="B141" t="s">
        <v>502</v>
      </c>
    </row>
    <row r="142" spans="1:2">
      <c r="A142" t="s">
        <v>57</v>
      </c>
      <c r="B142" t="s">
        <v>503</v>
      </c>
    </row>
    <row r="143" spans="1:2">
      <c r="A143" t="s">
        <v>57</v>
      </c>
      <c r="B143" t="s">
        <v>504</v>
      </c>
    </row>
    <row r="144" spans="1:2">
      <c r="A144" t="s">
        <v>57</v>
      </c>
      <c r="B144" t="s">
        <v>505</v>
      </c>
    </row>
    <row r="145" spans="1:2">
      <c r="A145" t="s">
        <v>57</v>
      </c>
      <c r="B145" t="s">
        <v>506</v>
      </c>
    </row>
    <row r="146" spans="1:2">
      <c r="A146" t="s">
        <v>57</v>
      </c>
      <c r="B146" t="s">
        <v>507</v>
      </c>
    </row>
    <row r="147" spans="1:2">
      <c r="A147" t="s">
        <v>57</v>
      </c>
      <c r="B147" t="s">
        <v>508</v>
      </c>
    </row>
    <row r="148" spans="1:2">
      <c r="A148" t="s">
        <v>57</v>
      </c>
      <c r="B148" t="s">
        <v>509</v>
      </c>
    </row>
    <row r="149" spans="1:2">
      <c r="A149" t="s">
        <v>57</v>
      </c>
      <c r="B149" t="s">
        <v>510</v>
      </c>
    </row>
    <row r="150" spans="1:2">
      <c r="A150" t="s">
        <v>57</v>
      </c>
      <c r="B150" t="s">
        <v>511</v>
      </c>
    </row>
    <row r="151" spans="1:2">
      <c r="A151" t="s">
        <v>57</v>
      </c>
      <c r="B151" t="s">
        <v>512</v>
      </c>
    </row>
    <row r="152" spans="1:2">
      <c r="A152" t="s">
        <v>57</v>
      </c>
      <c r="B152" t="s">
        <v>513</v>
      </c>
    </row>
    <row r="153" spans="1:2">
      <c r="A153" t="s">
        <v>57</v>
      </c>
      <c r="B153" t="s">
        <v>514</v>
      </c>
    </row>
    <row r="154" spans="1:2">
      <c r="A154" t="s">
        <v>57</v>
      </c>
      <c r="B154" t="s">
        <v>515</v>
      </c>
    </row>
    <row r="155" spans="1:2">
      <c r="A155" t="s">
        <v>57</v>
      </c>
      <c r="B155" t="s">
        <v>516</v>
      </c>
    </row>
    <row r="156" spans="1:2">
      <c r="A156" t="s">
        <v>57</v>
      </c>
      <c r="B156" t="s">
        <v>517</v>
      </c>
    </row>
    <row r="157" spans="1:2">
      <c r="A157" t="s">
        <v>57</v>
      </c>
      <c r="B157" t="s">
        <v>518</v>
      </c>
    </row>
    <row r="158" spans="1:2">
      <c r="A158" t="s">
        <v>57</v>
      </c>
      <c r="B158" t="s">
        <v>519</v>
      </c>
    </row>
    <row r="159" spans="1:2">
      <c r="A159" t="s">
        <v>57</v>
      </c>
      <c r="B159" t="s">
        <v>520</v>
      </c>
    </row>
    <row r="160" spans="1:2">
      <c r="A160" t="s">
        <v>57</v>
      </c>
      <c r="B160" t="s">
        <v>521</v>
      </c>
    </row>
    <row r="161" spans="1:2">
      <c r="A161" t="s">
        <v>57</v>
      </c>
      <c r="B161" t="s">
        <v>522</v>
      </c>
    </row>
    <row r="162" spans="1:2">
      <c r="A162" t="s">
        <v>57</v>
      </c>
      <c r="B162" t="s">
        <v>523</v>
      </c>
    </row>
    <row r="163" spans="1:2">
      <c r="A163" t="s">
        <v>57</v>
      </c>
      <c r="B163" t="s">
        <v>524</v>
      </c>
    </row>
    <row r="164" spans="1:2">
      <c r="A164" t="s">
        <v>57</v>
      </c>
      <c r="B164" t="s">
        <v>525</v>
      </c>
    </row>
    <row r="165" spans="1:2">
      <c r="A165" t="s">
        <v>57</v>
      </c>
      <c r="B165" t="s">
        <v>526</v>
      </c>
    </row>
    <row r="166" spans="1:2">
      <c r="A166" t="s">
        <v>57</v>
      </c>
      <c r="B166" t="s">
        <v>527</v>
      </c>
    </row>
    <row r="167" spans="1:2">
      <c r="A167" t="s">
        <v>57</v>
      </c>
      <c r="B167" t="s">
        <v>528</v>
      </c>
    </row>
    <row r="168" spans="1:2">
      <c r="A168" t="s">
        <v>57</v>
      </c>
      <c r="B168" t="s">
        <v>529</v>
      </c>
    </row>
    <row r="169" spans="1:2">
      <c r="A169" t="s">
        <v>57</v>
      </c>
      <c r="B169" t="s">
        <v>530</v>
      </c>
    </row>
    <row r="170" spans="1:2">
      <c r="A170" t="s">
        <v>57</v>
      </c>
      <c r="B170" t="s">
        <v>531</v>
      </c>
    </row>
    <row r="171" spans="1:2">
      <c r="A171" t="s">
        <v>57</v>
      </c>
      <c r="B171" t="s">
        <v>512</v>
      </c>
    </row>
    <row r="172" spans="1:2">
      <c r="A172" t="s">
        <v>57</v>
      </c>
      <c r="B172" t="s">
        <v>532</v>
      </c>
    </row>
    <row r="173" spans="1:2">
      <c r="A173" t="s">
        <v>57</v>
      </c>
      <c r="B173" t="s">
        <v>533</v>
      </c>
    </row>
    <row r="174" spans="1:2">
      <c r="A174" t="s">
        <v>57</v>
      </c>
      <c r="B174" t="s">
        <v>534</v>
      </c>
    </row>
    <row r="175" spans="1:2">
      <c r="A175" t="s">
        <v>57</v>
      </c>
      <c r="B175" t="s">
        <v>535</v>
      </c>
    </row>
    <row r="176" spans="1:2">
      <c r="A176" t="s">
        <v>57</v>
      </c>
      <c r="B176" t="s">
        <v>536</v>
      </c>
    </row>
    <row r="177" spans="1:2">
      <c r="A177" t="s">
        <v>57</v>
      </c>
      <c r="B177" t="s">
        <v>537</v>
      </c>
    </row>
    <row r="178" spans="1:2">
      <c r="A178" t="s">
        <v>57</v>
      </c>
      <c r="B178" t="s">
        <v>538</v>
      </c>
    </row>
    <row r="179" spans="1:2">
      <c r="A179" t="s">
        <v>57</v>
      </c>
      <c r="B179" t="s">
        <v>539</v>
      </c>
    </row>
    <row r="180" spans="1:2">
      <c r="A180" t="s">
        <v>57</v>
      </c>
      <c r="B180" t="s">
        <v>540</v>
      </c>
    </row>
    <row r="181" spans="1:2">
      <c r="A181" t="s">
        <v>57</v>
      </c>
      <c r="B181" t="s">
        <v>541</v>
      </c>
    </row>
    <row r="182" spans="1:2">
      <c r="A182" t="s">
        <v>57</v>
      </c>
      <c r="B182" t="s">
        <v>542</v>
      </c>
    </row>
    <row r="183" spans="1:2">
      <c r="A183" t="s">
        <v>57</v>
      </c>
      <c r="B183" t="s">
        <v>543</v>
      </c>
    </row>
    <row r="184" spans="1:2">
      <c r="A184" t="s">
        <v>57</v>
      </c>
      <c r="B184" t="s">
        <v>544</v>
      </c>
    </row>
    <row r="185" spans="1:2">
      <c r="A185" t="s">
        <v>57</v>
      </c>
      <c r="B185" t="s">
        <v>545</v>
      </c>
    </row>
    <row r="186" spans="1:2">
      <c r="A186" t="s">
        <v>57</v>
      </c>
      <c r="B186" t="s">
        <v>546</v>
      </c>
    </row>
    <row r="187" spans="1:2">
      <c r="A187" t="s">
        <v>57</v>
      </c>
      <c r="B187" t="s">
        <v>547</v>
      </c>
    </row>
    <row r="188" spans="1:2">
      <c r="A188" t="s">
        <v>57</v>
      </c>
      <c r="B188" t="s">
        <v>548</v>
      </c>
    </row>
    <row r="189" spans="1:2">
      <c r="A189" t="s">
        <v>57</v>
      </c>
      <c r="B189" t="s">
        <v>549</v>
      </c>
    </row>
    <row r="190" spans="1:2">
      <c r="A190" t="s">
        <v>57</v>
      </c>
      <c r="B190" t="s">
        <v>550</v>
      </c>
    </row>
    <row r="191" spans="1:2">
      <c r="A191" t="s">
        <v>57</v>
      </c>
      <c r="B191" t="s">
        <v>551</v>
      </c>
    </row>
    <row r="192" spans="1:2">
      <c r="A192" t="s">
        <v>57</v>
      </c>
      <c r="B192" t="s">
        <v>552</v>
      </c>
    </row>
    <row r="193" spans="1:2">
      <c r="A193" t="s">
        <v>57</v>
      </c>
      <c r="B193" t="s">
        <v>553</v>
      </c>
    </row>
    <row r="194" spans="1:2">
      <c r="A194" t="s">
        <v>57</v>
      </c>
      <c r="B194" t="s">
        <v>554</v>
      </c>
    </row>
    <row r="195" spans="1:2">
      <c r="A195" t="s">
        <v>57</v>
      </c>
      <c r="B195" t="s">
        <v>555</v>
      </c>
    </row>
    <row r="196" spans="1:2">
      <c r="A196" t="s">
        <v>57</v>
      </c>
      <c r="B196" t="s">
        <v>556</v>
      </c>
    </row>
    <row r="197" spans="1:2">
      <c r="A197" t="s">
        <v>57</v>
      </c>
      <c r="B197" t="s">
        <v>557</v>
      </c>
    </row>
    <row r="198" spans="1:2">
      <c r="A198" t="s">
        <v>57</v>
      </c>
      <c r="B198" t="s">
        <v>558</v>
      </c>
    </row>
    <row r="199" spans="1:2">
      <c r="A199" t="s">
        <v>57</v>
      </c>
      <c r="B199" t="s">
        <v>559</v>
      </c>
    </row>
    <row r="200" spans="1:2">
      <c r="A200" t="s">
        <v>57</v>
      </c>
      <c r="B200" t="s">
        <v>560</v>
      </c>
    </row>
    <row r="201" spans="1:2">
      <c r="A201" t="s">
        <v>57</v>
      </c>
      <c r="B201" t="s">
        <v>561</v>
      </c>
    </row>
    <row r="202" spans="1:2">
      <c r="A202" t="s">
        <v>57</v>
      </c>
      <c r="B202" t="s">
        <v>562</v>
      </c>
    </row>
    <row r="203" spans="1:2">
      <c r="A203" t="s">
        <v>57</v>
      </c>
      <c r="B203" t="s">
        <v>563</v>
      </c>
    </row>
    <row r="204" spans="1:2">
      <c r="A204" t="s">
        <v>57</v>
      </c>
      <c r="B204" t="s">
        <v>549</v>
      </c>
    </row>
    <row r="205" spans="1:2">
      <c r="A205" t="s">
        <v>57</v>
      </c>
      <c r="B205" t="s">
        <v>564</v>
      </c>
    </row>
    <row r="206" spans="1:2">
      <c r="A206" t="s">
        <v>57</v>
      </c>
      <c r="B206" t="s">
        <v>553</v>
      </c>
    </row>
    <row r="207" spans="1:2">
      <c r="A207" t="s">
        <v>57</v>
      </c>
      <c r="B207" t="s">
        <v>565</v>
      </c>
    </row>
    <row r="208" spans="1:2">
      <c r="A208" t="s">
        <v>57</v>
      </c>
      <c r="B208" t="s">
        <v>566</v>
      </c>
    </row>
    <row r="209" spans="1:2">
      <c r="A209" t="s">
        <v>57</v>
      </c>
      <c r="B209" t="s">
        <v>567</v>
      </c>
    </row>
    <row r="210" spans="1:2">
      <c r="A210" t="s">
        <v>57</v>
      </c>
      <c r="B210" t="s">
        <v>568</v>
      </c>
    </row>
    <row r="211" spans="1:2">
      <c r="A211" t="s">
        <v>57</v>
      </c>
      <c r="B211" t="s">
        <v>569</v>
      </c>
    </row>
    <row r="212" spans="1:2">
      <c r="A212" t="s">
        <v>57</v>
      </c>
      <c r="B212" t="s">
        <v>570</v>
      </c>
    </row>
    <row r="213" spans="1:2">
      <c r="A213" t="s">
        <v>57</v>
      </c>
      <c r="B213" t="s">
        <v>571</v>
      </c>
    </row>
    <row r="214" spans="1:2">
      <c r="A214" t="s">
        <v>57</v>
      </c>
      <c r="B214" t="s">
        <v>559</v>
      </c>
    </row>
    <row r="215" spans="1:2">
      <c r="A215" t="s">
        <v>57</v>
      </c>
      <c r="B215" t="s">
        <v>572</v>
      </c>
    </row>
    <row r="216" spans="1:2">
      <c r="A216" t="s">
        <v>57</v>
      </c>
      <c r="B216" t="s">
        <v>573</v>
      </c>
    </row>
    <row r="217" spans="1:2">
      <c r="A217" t="s">
        <v>57</v>
      </c>
      <c r="B217" t="s">
        <v>574</v>
      </c>
    </row>
    <row r="218" spans="1:2">
      <c r="A218" t="s">
        <v>57</v>
      </c>
      <c r="B218" t="s">
        <v>549</v>
      </c>
    </row>
    <row r="219" spans="1:2">
      <c r="A219" t="s">
        <v>57</v>
      </c>
      <c r="B219" t="s">
        <v>575</v>
      </c>
    </row>
    <row r="220" spans="1:2">
      <c r="A220" t="s">
        <v>57</v>
      </c>
      <c r="B220" t="s">
        <v>576</v>
      </c>
    </row>
    <row r="221" spans="1:2">
      <c r="A221" t="s">
        <v>57</v>
      </c>
      <c r="B221" t="s">
        <v>576</v>
      </c>
    </row>
    <row r="222" spans="1:2">
      <c r="A222" t="s">
        <v>57</v>
      </c>
      <c r="B222" t="s">
        <v>577</v>
      </c>
    </row>
    <row r="223" spans="1:2">
      <c r="A223" t="s">
        <v>57</v>
      </c>
      <c r="B223" t="s">
        <v>555</v>
      </c>
    </row>
    <row r="224" spans="1:2">
      <c r="A224" t="s">
        <v>57</v>
      </c>
      <c r="B224" t="s">
        <v>578</v>
      </c>
    </row>
    <row r="225" spans="1:2">
      <c r="A225" t="s">
        <v>57</v>
      </c>
      <c r="B225" t="s">
        <v>579</v>
      </c>
    </row>
    <row r="226" spans="1:2">
      <c r="A226" t="s">
        <v>57</v>
      </c>
      <c r="B226" t="s">
        <v>580</v>
      </c>
    </row>
    <row r="227" spans="1:2">
      <c r="A227" t="s">
        <v>57</v>
      </c>
      <c r="B227" t="s">
        <v>581</v>
      </c>
    </row>
    <row r="228" spans="1:2">
      <c r="A228" t="s">
        <v>57</v>
      </c>
      <c r="B228" t="s">
        <v>582</v>
      </c>
    </row>
    <row r="229" spans="1:2">
      <c r="A229" t="s">
        <v>57</v>
      </c>
      <c r="B229" t="s">
        <v>583</v>
      </c>
    </row>
    <row r="230" spans="1:2">
      <c r="A230" t="s">
        <v>57</v>
      </c>
      <c r="B230" t="s">
        <v>584</v>
      </c>
    </row>
    <row r="231" spans="1:2">
      <c r="A231" t="s">
        <v>57</v>
      </c>
      <c r="B231" t="s">
        <v>585</v>
      </c>
    </row>
    <row r="232" spans="1:2">
      <c r="A232" t="s">
        <v>57</v>
      </c>
      <c r="B232" t="s">
        <v>586</v>
      </c>
    </row>
    <row r="233" spans="1:2">
      <c r="A233" t="s">
        <v>57</v>
      </c>
      <c r="B233" t="s">
        <v>587</v>
      </c>
    </row>
    <row r="234" spans="1:2">
      <c r="A234" t="s">
        <v>57</v>
      </c>
      <c r="B234" t="s">
        <v>583</v>
      </c>
    </row>
    <row r="235" spans="1:2">
      <c r="A235" t="s">
        <v>57</v>
      </c>
      <c r="B235" t="s">
        <v>588</v>
      </c>
    </row>
    <row r="236" spans="1:2">
      <c r="A236" t="s">
        <v>57</v>
      </c>
      <c r="B236" t="s">
        <v>589</v>
      </c>
    </row>
    <row r="237" spans="1:2">
      <c r="A237" t="s">
        <v>57</v>
      </c>
      <c r="B237" t="s">
        <v>590</v>
      </c>
    </row>
    <row r="238" spans="1:2">
      <c r="A238" t="s">
        <v>57</v>
      </c>
      <c r="B238" t="s">
        <v>591</v>
      </c>
    </row>
    <row r="239" spans="1:2">
      <c r="A239" t="s">
        <v>57</v>
      </c>
      <c r="B239" t="s">
        <v>592</v>
      </c>
    </row>
    <row r="240" spans="1:2">
      <c r="A240" t="s">
        <v>57</v>
      </c>
      <c r="B240" t="s">
        <v>593</v>
      </c>
    </row>
    <row r="241" spans="1:2">
      <c r="A241" t="s">
        <v>57</v>
      </c>
      <c r="B241" t="s">
        <v>558</v>
      </c>
    </row>
    <row r="242" spans="1:2">
      <c r="A242" t="s">
        <v>57</v>
      </c>
      <c r="B242" t="s">
        <v>583</v>
      </c>
    </row>
    <row r="243" spans="1:2">
      <c r="A243" t="s">
        <v>57</v>
      </c>
      <c r="B243" t="s">
        <v>594</v>
      </c>
    </row>
    <row r="244" spans="1:2">
      <c r="A244" t="s">
        <v>57</v>
      </c>
      <c r="B244" t="s">
        <v>595</v>
      </c>
    </row>
    <row r="245" spans="1:2">
      <c r="A245" t="s">
        <v>57</v>
      </c>
      <c r="B245" t="s">
        <v>583</v>
      </c>
    </row>
    <row r="246" spans="1:2">
      <c r="A246" t="s">
        <v>57</v>
      </c>
      <c r="B246" t="s">
        <v>596</v>
      </c>
    </row>
    <row r="247" spans="1:2">
      <c r="A247" t="s">
        <v>57</v>
      </c>
      <c r="B247" t="s">
        <v>583</v>
      </c>
    </row>
    <row r="248" spans="1:2">
      <c r="A248" t="s">
        <v>57</v>
      </c>
      <c r="B248" t="s">
        <v>597</v>
      </c>
    </row>
    <row r="249" spans="1:2">
      <c r="A249" t="s">
        <v>57</v>
      </c>
      <c r="B249" t="s">
        <v>585</v>
      </c>
    </row>
    <row r="250" spans="1:2">
      <c r="A250" t="s">
        <v>57</v>
      </c>
      <c r="B250" t="s">
        <v>598</v>
      </c>
    </row>
    <row r="251" spans="1:2">
      <c r="A251" t="s">
        <v>57</v>
      </c>
      <c r="B251" t="s">
        <v>599</v>
      </c>
    </row>
    <row r="252" spans="1:2">
      <c r="A252" t="s">
        <v>57</v>
      </c>
      <c r="B252" t="s">
        <v>600</v>
      </c>
    </row>
    <row r="253" spans="1:2">
      <c r="A253" t="s">
        <v>57</v>
      </c>
      <c r="B253" t="s">
        <v>601</v>
      </c>
    </row>
    <row r="254" spans="1:2">
      <c r="A254" t="s">
        <v>57</v>
      </c>
      <c r="B254" t="s">
        <v>602</v>
      </c>
    </row>
    <row r="255" spans="1:2">
      <c r="A255" t="s">
        <v>57</v>
      </c>
      <c r="B255" t="s">
        <v>583</v>
      </c>
    </row>
    <row r="256" spans="1:2">
      <c r="A256" t="s">
        <v>57</v>
      </c>
      <c r="B256" t="s">
        <v>583</v>
      </c>
    </row>
    <row r="257" spans="1:2">
      <c r="A257" t="s">
        <v>57</v>
      </c>
      <c r="B257" t="s">
        <v>603</v>
      </c>
    </row>
    <row r="258" spans="1:2">
      <c r="A258" t="s">
        <v>57</v>
      </c>
      <c r="B258" t="s">
        <v>583</v>
      </c>
    </row>
    <row r="259" spans="1:2">
      <c r="A259" t="s">
        <v>57</v>
      </c>
      <c r="B259" t="s">
        <v>604</v>
      </c>
    </row>
    <row r="260" spans="1:2">
      <c r="A260" t="s">
        <v>57</v>
      </c>
      <c r="B260" t="s">
        <v>605</v>
      </c>
    </row>
    <row r="261" spans="1:2">
      <c r="A261" t="s">
        <v>57</v>
      </c>
      <c r="B261" t="s">
        <v>583</v>
      </c>
    </row>
    <row r="262" spans="1:2">
      <c r="A262" t="s">
        <v>57</v>
      </c>
      <c r="B262" t="s">
        <v>606</v>
      </c>
    </row>
    <row r="263" spans="1:2">
      <c r="A263" t="s">
        <v>57</v>
      </c>
      <c r="B263" t="s">
        <v>607</v>
      </c>
    </row>
    <row r="264" spans="1:2">
      <c r="A264" t="s">
        <v>57</v>
      </c>
      <c r="B264" t="s">
        <v>608</v>
      </c>
    </row>
    <row r="265" spans="1:2">
      <c r="A265" t="s">
        <v>57</v>
      </c>
      <c r="B265" t="s">
        <v>609</v>
      </c>
    </row>
    <row r="266" spans="1:2">
      <c r="A266" t="s">
        <v>57</v>
      </c>
      <c r="B266" t="s">
        <v>610</v>
      </c>
    </row>
    <row r="267" spans="1:2">
      <c r="A267" t="s">
        <v>57</v>
      </c>
      <c r="B267" t="s">
        <v>611</v>
      </c>
    </row>
    <row r="268" spans="1:2">
      <c r="A268" t="s">
        <v>57</v>
      </c>
      <c r="B268" t="s">
        <v>612</v>
      </c>
    </row>
    <row r="269" spans="1:2">
      <c r="A269" t="s">
        <v>57</v>
      </c>
      <c r="B269" t="s">
        <v>613</v>
      </c>
    </row>
    <row r="270" spans="1:2">
      <c r="A270" t="s">
        <v>57</v>
      </c>
      <c r="B270" t="s">
        <v>614</v>
      </c>
    </row>
    <row r="271" spans="1:2">
      <c r="A271" t="s">
        <v>57</v>
      </c>
      <c r="B271" t="s">
        <v>615</v>
      </c>
    </row>
    <row r="272" spans="1:2">
      <c r="A272" t="s">
        <v>57</v>
      </c>
      <c r="B272" t="s">
        <v>616</v>
      </c>
    </row>
    <row r="273" spans="1:2">
      <c r="A273" t="s">
        <v>57</v>
      </c>
      <c r="B273" t="s">
        <v>617</v>
      </c>
    </row>
    <row r="274" spans="1:2">
      <c r="A274" t="s">
        <v>57</v>
      </c>
      <c r="B274" t="s">
        <v>618</v>
      </c>
    </row>
    <row r="275" spans="1:2">
      <c r="A275" t="s">
        <v>57</v>
      </c>
      <c r="B275" t="s">
        <v>619</v>
      </c>
    </row>
    <row r="276" spans="1:2">
      <c r="A276" t="s">
        <v>57</v>
      </c>
      <c r="B276" t="s">
        <v>620</v>
      </c>
    </row>
    <row r="277" spans="1:2">
      <c r="A277" t="s">
        <v>57</v>
      </c>
      <c r="B277" t="s">
        <v>621</v>
      </c>
    </row>
    <row r="278" spans="1:2">
      <c r="A278" t="s">
        <v>57</v>
      </c>
      <c r="B278" t="s">
        <v>622</v>
      </c>
    </row>
    <row r="279" spans="1:2">
      <c r="A279" t="s">
        <v>57</v>
      </c>
      <c r="B279" t="s">
        <v>623</v>
      </c>
    </row>
    <row r="280" spans="1:2">
      <c r="A280" t="s">
        <v>57</v>
      </c>
      <c r="B280" t="s">
        <v>624</v>
      </c>
    </row>
    <row r="281" spans="1:2">
      <c r="A281" t="s">
        <v>57</v>
      </c>
      <c r="B281" t="s">
        <v>720</v>
      </c>
    </row>
    <row r="282" spans="1:2">
      <c r="A282" t="s">
        <v>57</v>
      </c>
      <c r="B282" t="s">
        <v>742</v>
      </c>
    </row>
    <row r="283" spans="1:2">
      <c r="A283" t="s">
        <v>57</v>
      </c>
      <c r="B283" t="s">
        <v>743</v>
      </c>
    </row>
    <row r="284" spans="1:2">
      <c r="A284" t="s">
        <v>57</v>
      </c>
      <c r="B284" t="s">
        <v>767</v>
      </c>
    </row>
    <row r="285" spans="1:2">
      <c r="A285" t="s">
        <v>57</v>
      </c>
      <c r="B285" t="s">
        <v>785</v>
      </c>
    </row>
    <row r="286" spans="1:2">
      <c r="A286" t="s">
        <v>57</v>
      </c>
      <c r="B286" t="s">
        <v>786</v>
      </c>
    </row>
    <row r="287" spans="1:2">
      <c r="A287" t="s">
        <v>57</v>
      </c>
      <c r="B287" t="s">
        <v>821</v>
      </c>
    </row>
    <row r="288" spans="1:2">
      <c r="A288" t="s">
        <v>57</v>
      </c>
      <c r="B288" t="s">
        <v>822</v>
      </c>
    </row>
    <row r="289" spans="1:2">
      <c r="A289" t="s">
        <v>57</v>
      </c>
      <c r="B289" t="s">
        <v>831</v>
      </c>
    </row>
    <row r="290" spans="1:2">
      <c r="A290" t="s">
        <v>57</v>
      </c>
      <c r="B290" t="s">
        <v>832</v>
      </c>
    </row>
    <row r="291" spans="1:2">
      <c r="A291" t="s">
        <v>57</v>
      </c>
      <c r="B291" t="s">
        <v>835</v>
      </c>
    </row>
    <row r="292" spans="1:2">
      <c r="A292" t="s">
        <v>191</v>
      </c>
      <c r="B292" t="s">
        <v>356</v>
      </c>
    </row>
    <row r="293" spans="1:2">
      <c r="A293" t="s">
        <v>191</v>
      </c>
      <c r="B293" t="s">
        <v>357</v>
      </c>
    </row>
    <row r="294" spans="1:2">
      <c r="A294" t="s">
        <v>191</v>
      </c>
      <c r="B294" t="s">
        <v>358</v>
      </c>
    </row>
    <row r="295" spans="1:2">
      <c r="A295" t="s">
        <v>191</v>
      </c>
      <c r="B295" t="s">
        <v>359</v>
      </c>
    </row>
    <row r="296" spans="1:2">
      <c r="A296" t="s">
        <v>191</v>
      </c>
      <c r="B296" t="s">
        <v>360</v>
      </c>
    </row>
    <row r="297" spans="1:2">
      <c r="A297" t="s">
        <v>191</v>
      </c>
      <c r="B297" t="s">
        <v>361</v>
      </c>
    </row>
    <row r="298" spans="1:2">
      <c r="A298" t="s">
        <v>191</v>
      </c>
      <c r="B298" t="s">
        <v>362</v>
      </c>
    </row>
    <row r="299" spans="1:2">
      <c r="A299" t="s">
        <v>191</v>
      </c>
      <c r="B299" t="s">
        <v>363</v>
      </c>
    </row>
    <row r="300" spans="1:2">
      <c r="A300" t="s">
        <v>191</v>
      </c>
      <c r="B300" t="s">
        <v>364</v>
      </c>
    </row>
    <row r="301" spans="1:2">
      <c r="A301" t="s">
        <v>191</v>
      </c>
      <c r="B301" t="s">
        <v>365</v>
      </c>
    </row>
    <row r="302" spans="1:2">
      <c r="A302" t="s">
        <v>191</v>
      </c>
      <c r="B302" t="s">
        <v>366</v>
      </c>
    </row>
    <row r="303" spans="1:2">
      <c r="A303" t="s">
        <v>191</v>
      </c>
      <c r="B303" t="s">
        <v>367</v>
      </c>
    </row>
    <row r="304" spans="1:2">
      <c r="A304" t="s">
        <v>191</v>
      </c>
      <c r="B304" t="s">
        <v>368</v>
      </c>
    </row>
    <row r="305" spans="1:2">
      <c r="A305" t="s">
        <v>191</v>
      </c>
      <c r="B305" t="s">
        <v>369</v>
      </c>
    </row>
    <row r="306" spans="1:2">
      <c r="A306" t="s">
        <v>191</v>
      </c>
      <c r="B306" t="s">
        <v>370</v>
      </c>
    </row>
    <row r="307" spans="1:2">
      <c r="A307" t="s">
        <v>191</v>
      </c>
      <c r="B307" t="s">
        <v>371</v>
      </c>
    </row>
    <row r="308" spans="1:2">
      <c r="A308" t="s">
        <v>191</v>
      </c>
      <c r="B308" t="s">
        <v>372</v>
      </c>
    </row>
    <row r="309" spans="1:2">
      <c r="A309" t="s">
        <v>191</v>
      </c>
      <c r="B309" t="s">
        <v>373</v>
      </c>
    </row>
    <row r="310" spans="1:2">
      <c r="A310" t="s">
        <v>191</v>
      </c>
      <c r="B310" t="s">
        <v>374</v>
      </c>
    </row>
    <row r="311" spans="1:2">
      <c r="A311" t="s">
        <v>191</v>
      </c>
      <c r="B311" t="s">
        <v>375</v>
      </c>
    </row>
    <row r="312" spans="1:2">
      <c r="A312" t="s">
        <v>191</v>
      </c>
      <c r="B312" t="s">
        <v>376</v>
      </c>
    </row>
    <row r="313" spans="1:2">
      <c r="A313" t="s">
        <v>191</v>
      </c>
      <c r="B313" t="s">
        <v>377</v>
      </c>
    </row>
    <row r="314" spans="1:2">
      <c r="A314" t="s">
        <v>191</v>
      </c>
      <c r="B314" t="s">
        <v>378</v>
      </c>
    </row>
    <row r="315" spans="1:2">
      <c r="A315" t="s">
        <v>191</v>
      </c>
      <c r="B315" t="s">
        <v>379</v>
      </c>
    </row>
    <row r="316" spans="1:2">
      <c r="A316" t="s">
        <v>191</v>
      </c>
      <c r="B316" t="s">
        <v>380</v>
      </c>
    </row>
    <row r="317" spans="1:2">
      <c r="A317" t="s">
        <v>191</v>
      </c>
      <c r="B317" t="s">
        <v>381</v>
      </c>
    </row>
    <row r="318" spans="1:2">
      <c r="A318" t="s">
        <v>191</v>
      </c>
      <c r="B318" t="s">
        <v>382</v>
      </c>
    </row>
    <row r="319" spans="1:2">
      <c r="A319" t="s">
        <v>191</v>
      </c>
      <c r="B319" t="s">
        <v>383</v>
      </c>
    </row>
    <row r="320" spans="1:2">
      <c r="A320" t="s">
        <v>191</v>
      </c>
      <c r="B320" t="s">
        <v>384</v>
      </c>
    </row>
    <row r="321" spans="1:2">
      <c r="A321" t="s">
        <v>191</v>
      </c>
      <c r="B321" t="s">
        <v>385</v>
      </c>
    </row>
    <row r="322" spans="1:2">
      <c r="A322" t="s">
        <v>191</v>
      </c>
      <c r="B322" t="s">
        <v>386</v>
      </c>
    </row>
    <row r="323" spans="1:2">
      <c r="A323" t="s">
        <v>191</v>
      </c>
      <c r="B323" t="s">
        <v>387</v>
      </c>
    </row>
    <row r="324" spans="1:2">
      <c r="A324" t="s">
        <v>191</v>
      </c>
      <c r="B324" t="s">
        <v>388</v>
      </c>
    </row>
    <row r="325" spans="1:2">
      <c r="A325" t="s">
        <v>191</v>
      </c>
      <c r="B325" t="s">
        <v>389</v>
      </c>
    </row>
    <row r="326" spans="1:2">
      <c r="A326" t="s">
        <v>191</v>
      </c>
      <c r="B326" t="s">
        <v>390</v>
      </c>
    </row>
    <row r="327" spans="1:2">
      <c r="A327" t="s">
        <v>191</v>
      </c>
      <c r="B327" t="s">
        <v>391</v>
      </c>
    </row>
    <row r="328" spans="1:2">
      <c r="A328" t="s">
        <v>191</v>
      </c>
      <c r="B328" t="s">
        <v>392</v>
      </c>
    </row>
    <row r="329" spans="1:2">
      <c r="A329" t="s">
        <v>191</v>
      </c>
      <c r="B329" t="s">
        <v>393</v>
      </c>
    </row>
    <row r="330" spans="1:2">
      <c r="A330" t="s">
        <v>191</v>
      </c>
      <c r="B330" t="s">
        <v>394</v>
      </c>
    </row>
    <row r="331" spans="1:2">
      <c r="A331" t="s">
        <v>191</v>
      </c>
      <c r="B331" t="s">
        <v>395</v>
      </c>
    </row>
    <row r="332" spans="1:2">
      <c r="A332" t="s">
        <v>191</v>
      </c>
      <c r="B332" t="s">
        <v>396</v>
      </c>
    </row>
    <row r="333" spans="1:2">
      <c r="A333" t="s">
        <v>191</v>
      </c>
      <c r="B333" t="s">
        <v>397</v>
      </c>
    </row>
    <row r="334" spans="1:2">
      <c r="A334" t="s">
        <v>191</v>
      </c>
      <c r="B334" t="s">
        <v>398</v>
      </c>
    </row>
    <row r="335" spans="1:2">
      <c r="A335" t="s">
        <v>191</v>
      </c>
      <c r="B335" t="s">
        <v>399</v>
      </c>
    </row>
    <row r="336" spans="1:2">
      <c r="A336" t="s">
        <v>191</v>
      </c>
      <c r="B336" t="s">
        <v>400</v>
      </c>
    </row>
    <row r="337" spans="1:2">
      <c r="A337" t="s">
        <v>191</v>
      </c>
      <c r="B337" t="s">
        <v>401</v>
      </c>
    </row>
    <row r="338" spans="1:2">
      <c r="A338" t="s">
        <v>191</v>
      </c>
      <c r="B338" t="s">
        <v>402</v>
      </c>
    </row>
    <row r="339" spans="1:2">
      <c r="A339" t="s">
        <v>191</v>
      </c>
      <c r="B339" t="s">
        <v>403</v>
      </c>
    </row>
    <row r="340" spans="1:2">
      <c r="A340" t="s">
        <v>191</v>
      </c>
      <c r="B340" t="s">
        <v>404</v>
      </c>
    </row>
    <row r="341" spans="1:2">
      <c r="A341" t="s">
        <v>191</v>
      </c>
      <c r="B341" t="s">
        <v>405</v>
      </c>
    </row>
    <row r="342" spans="1:2">
      <c r="A342" t="s">
        <v>191</v>
      </c>
      <c r="B342" t="s">
        <v>406</v>
      </c>
    </row>
    <row r="343" spans="1:2">
      <c r="A343" t="s">
        <v>191</v>
      </c>
      <c r="B343" t="s">
        <v>407</v>
      </c>
    </row>
    <row r="344" spans="1:2">
      <c r="A344" t="s">
        <v>191</v>
      </c>
      <c r="B344" t="s">
        <v>408</v>
      </c>
    </row>
    <row r="345" spans="1:2">
      <c r="A345" t="s">
        <v>191</v>
      </c>
      <c r="B345" t="s">
        <v>409</v>
      </c>
    </row>
    <row r="346" spans="1:2">
      <c r="A346" t="s">
        <v>191</v>
      </c>
      <c r="B346" t="s">
        <v>410</v>
      </c>
    </row>
    <row r="347" spans="1:2">
      <c r="A347" t="s">
        <v>191</v>
      </c>
      <c r="B347" t="s">
        <v>411</v>
      </c>
    </row>
    <row r="348" spans="1:2">
      <c r="A348" t="s">
        <v>191</v>
      </c>
      <c r="B348" t="s">
        <v>412</v>
      </c>
    </row>
    <row r="349" spans="1:2">
      <c r="A349" t="s">
        <v>191</v>
      </c>
      <c r="B349" t="s">
        <v>413</v>
      </c>
    </row>
    <row r="350" spans="1:2">
      <c r="A350" t="s">
        <v>191</v>
      </c>
      <c r="B350" t="s">
        <v>414</v>
      </c>
    </row>
    <row r="351" spans="1:2">
      <c r="A351" t="s">
        <v>191</v>
      </c>
      <c r="B351" t="s">
        <v>415</v>
      </c>
    </row>
    <row r="352" spans="1:2">
      <c r="A352" t="s">
        <v>191</v>
      </c>
      <c r="B352" t="s">
        <v>416</v>
      </c>
    </row>
    <row r="353" spans="1:2">
      <c r="A353" t="s">
        <v>191</v>
      </c>
      <c r="B353" t="s">
        <v>417</v>
      </c>
    </row>
    <row r="354" spans="1:2">
      <c r="A354" t="s">
        <v>191</v>
      </c>
      <c r="B354" t="s">
        <v>418</v>
      </c>
    </row>
    <row r="355" spans="1:2">
      <c r="A355" t="s">
        <v>191</v>
      </c>
      <c r="B355" t="s">
        <v>419</v>
      </c>
    </row>
    <row r="356" spans="1:2">
      <c r="A356" t="s">
        <v>191</v>
      </c>
      <c r="B356" t="s">
        <v>420</v>
      </c>
    </row>
    <row r="357" spans="1:2">
      <c r="A357" t="s">
        <v>191</v>
      </c>
      <c r="B357" t="s">
        <v>421</v>
      </c>
    </row>
    <row r="358" spans="1:2">
      <c r="A358" t="s">
        <v>191</v>
      </c>
      <c r="B358" t="s">
        <v>422</v>
      </c>
    </row>
    <row r="359" spans="1:2">
      <c r="A359" t="s">
        <v>191</v>
      </c>
      <c r="B359" t="s">
        <v>423</v>
      </c>
    </row>
    <row r="360" spans="1:2">
      <c r="A360" t="s">
        <v>191</v>
      </c>
      <c r="B360" t="s">
        <v>424</v>
      </c>
    </row>
    <row r="361" spans="1:2">
      <c r="A361" t="s">
        <v>191</v>
      </c>
      <c r="B361" t="s">
        <v>425</v>
      </c>
    </row>
    <row r="362" spans="1:2">
      <c r="A362" t="s">
        <v>191</v>
      </c>
      <c r="B362" t="s">
        <v>426</v>
      </c>
    </row>
    <row r="363" spans="1:2">
      <c r="A363" t="s">
        <v>191</v>
      </c>
      <c r="B363" t="s">
        <v>427</v>
      </c>
    </row>
    <row r="364" spans="1:2">
      <c r="A364" t="s">
        <v>191</v>
      </c>
      <c r="B364" t="s">
        <v>428</v>
      </c>
    </row>
    <row r="365" spans="1:2">
      <c r="A365" t="s">
        <v>191</v>
      </c>
      <c r="B365" t="s">
        <v>429</v>
      </c>
    </row>
    <row r="366" spans="1:2">
      <c r="A366" t="s">
        <v>191</v>
      </c>
      <c r="B366" t="s">
        <v>430</v>
      </c>
    </row>
    <row r="367" spans="1:2">
      <c r="A367" t="s">
        <v>191</v>
      </c>
      <c r="B367" t="s">
        <v>431</v>
      </c>
    </row>
    <row r="368" spans="1:2">
      <c r="A368" t="s">
        <v>714</v>
      </c>
      <c r="B368" t="s">
        <v>715</v>
      </c>
    </row>
    <row r="369" spans="1:2">
      <c r="A369" t="s">
        <v>714</v>
      </c>
      <c r="B369" t="s">
        <v>716</v>
      </c>
    </row>
    <row r="370" spans="1:2">
      <c r="A370" t="s">
        <v>714</v>
      </c>
      <c r="B370" t="s">
        <v>717</v>
      </c>
    </row>
    <row r="371" spans="1:2">
      <c r="A371" t="s">
        <v>714</v>
      </c>
      <c r="B371" t="s">
        <v>730</v>
      </c>
    </row>
    <row r="372" spans="1:2">
      <c r="A372" t="s">
        <v>714</v>
      </c>
      <c r="B372" t="s">
        <v>731</v>
      </c>
    </row>
    <row r="373" spans="1:2">
      <c r="A373" t="s">
        <v>714</v>
      </c>
      <c r="B373" t="s">
        <v>732</v>
      </c>
    </row>
    <row r="374" spans="1:2">
      <c r="A374" t="s">
        <v>714</v>
      </c>
      <c r="B374" t="s">
        <v>733</v>
      </c>
    </row>
    <row r="375" spans="1:2">
      <c r="A375" t="s">
        <v>714</v>
      </c>
      <c r="B375" t="s">
        <v>734</v>
      </c>
    </row>
    <row r="376" spans="1:2">
      <c r="A376" t="s">
        <v>714</v>
      </c>
      <c r="B376" t="s">
        <v>735</v>
      </c>
    </row>
    <row r="377" spans="1:2">
      <c r="A377" t="s">
        <v>714</v>
      </c>
      <c r="B377" t="s">
        <v>749</v>
      </c>
    </row>
    <row r="378" spans="1:2">
      <c r="A378" t="s">
        <v>714</v>
      </c>
      <c r="B378" t="s">
        <v>750</v>
      </c>
    </row>
    <row r="379" spans="1:2">
      <c r="A379" t="s">
        <v>714</v>
      </c>
      <c r="B379" t="s">
        <v>751</v>
      </c>
    </row>
    <row r="380" spans="1:2">
      <c r="A380" t="s">
        <v>714</v>
      </c>
      <c r="B380" t="s">
        <v>757</v>
      </c>
    </row>
    <row r="381" spans="1:2">
      <c r="A381" t="s">
        <v>714</v>
      </c>
      <c r="B381" t="s">
        <v>758</v>
      </c>
    </row>
    <row r="382" spans="1:2">
      <c r="A382" t="s">
        <v>714</v>
      </c>
      <c r="B382" t="s">
        <v>764</v>
      </c>
    </row>
    <row r="383" spans="1:2">
      <c r="A383" t="s">
        <v>714</v>
      </c>
      <c r="B383" t="s">
        <v>771</v>
      </c>
    </row>
    <row r="384" spans="1:2">
      <c r="A384" t="s">
        <v>714</v>
      </c>
      <c r="B384" t="s">
        <v>779</v>
      </c>
    </row>
    <row r="385" spans="1:2">
      <c r="A385" t="s">
        <v>714</v>
      </c>
      <c r="B385" t="s">
        <v>780</v>
      </c>
    </row>
    <row r="386" spans="1:2">
      <c r="A386" t="s">
        <v>714</v>
      </c>
      <c r="B386" t="s">
        <v>781</v>
      </c>
    </row>
    <row r="387" spans="1:2">
      <c r="A387" t="s">
        <v>714</v>
      </c>
      <c r="B387" t="s">
        <v>796</v>
      </c>
    </row>
    <row r="388" spans="1:2">
      <c r="A388" t="s">
        <v>714</v>
      </c>
      <c r="B388" t="s">
        <v>797</v>
      </c>
    </row>
    <row r="389" spans="1:2">
      <c r="A389" t="s">
        <v>714</v>
      </c>
      <c r="B389" t="s">
        <v>796</v>
      </c>
    </row>
    <row r="390" spans="1:2">
      <c r="A390" t="s">
        <v>714</v>
      </c>
      <c r="B390" t="s">
        <v>803</v>
      </c>
    </row>
    <row r="391" spans="1:2">
      <c r="A391" t="s">
        <v>714</v>
      </c>
      <c r="B391" t="s">
        <v>805</v>
      </c>
    </row>
    <row r="392" spans="1:2">
      <c r="A392" t="s">
        <v>714</v>
      </c>
      <c r="B392" t="s">
        <v>812</v>
      </c>
    </row>
    <row r="393" spans="1:2">
      <c r="A393" t="s">
        <v>714</v>
      </c>
      <c r="B393" t="s">
        <v>825</v>
      </c>
    </row>
    <row r="394" spans="1:2">
      <c r="A394" t="s">
        <v>714</v>
      </c>
      <c r="B394" t="s">
        <v>838</v>
      </c>
    </row>
    <row r="395" spans="1:2">
      <c r="A395" t="s">
        <v>714</v>
      </c>
      <c r="B395" t="s">
        <v>839</v>
      </c>
    </row>
    <row r="396" spans="1:2">
      <c r="A396" t="s">
        <v>714</v>
      </c>
      <c r="B396" t="s">
        <v>840</v>
      </c>
    </row>
    <row r="397" spans="1:2">
      <c r="A397" t="s">
        <v>714</v>
      </c>
      <c r="B397" t="s">
        <v>844</v>
      </c>
    </row>
    <row r="398" spans="1:2">
      <c r="A398" t="s">
        <v>714</v>
      </c>
      <c r="B398" t="s">
        <v>847</v>
      </c>
    </row>
    <row r="399" spans="1:2">
      <c r="A399" t="s">
        <v>714</v>
      </c>
      <c r="B399" t="s">
        <v>851</v>
      </c>
    </row>
    <row r="400" spans="1:2">
      <c r="A400" t="s">
        <v>714</v>
      </c>
      <c r="B400" t="s">
        <v>852</v>
      </c>
    </row>
    <row r="401" spans="1:2">
      <c r="A401" t="s">
        <v>714</v>
      </c>
      <c r="B401" t="s">
        <v>857</v>
      </c>
    </row>
    <row r="402" spans="1:2">
      <c r="A402" t="s">
        <v>714</v>
      </c>
      <c r="B402" t="s">
        <v>864</v>
      </c>
    </row>
    <row r="403" spans="1:2">
      <c r="A403" t="s">
        <v>714</v>
      </c>
      <c r="B403" t="s">
        <v>865</v>
      </c>
    </row>
    <row r="404" spans="1:2">
      <c r="A404" t="s">
        <v>714</v>
      </c>
      <c r="B404" t="s">
        <v>868</v>
      </c>
    </row>
    <row r="405" spans="1:2">
      <c r="A405" t="s">
        <v>714</v>
      </c>
      <c r="B405" t="s">
        <v>872</v>
      </c>
    </row>
    <row r="406" spans="1:2">
      <c r="A406" t="s">
        <v>192</v>
      </c>
      <c r="B406" t="s">
        <v>193</v>
      </c>
    </row>
    <row r="407" spans="1:2">
      <c r="A407" t="s">
        <v>192</v>
      </c>
      <c r="B407" t="s">
        <v>194</v>
      </c>
    </row>
    <row r="408" spans="1:2">
      <c r="A408" t="s">
        <v>192</v>
      </c>
      <c r="B408" t="s">
        <v>195</v>
      </c>
    </row>
    <row r="409" spans="1:2">
      <c r="A409" t="s">
        <v>192</v>
      </c>
      <c r="B409" t="s">
        <v>196</v>
      </c>
    </row>
    <row r="410" spans="1:2">
      <c r="A410" t="s">
        <v>192</v>
      </c>
      <c r="B410" t="s">
        <v>197</v>
      </c>
    </row>
    <row r="411" spans="1:2">
      <c r="A411" t="s">
        <v>192</v>
      </c>
      <c r="B411" t="s">
        <v>198</v>
      </c>
    </row>
    <row r="412" spans="1:2">
      <c r="A412" t="s">
        <v>192</v>
      </c>
      <c r="B412" t="s">
        <v>199</v>
      </c>
    </row>
    <row r="413" spans="1:2">
      <c r="A413" t="s">
        <v>192</v>
      </c>
      <c r="B413" t="s">
        <v>200</v>
      </c>
    </row>
    <row r="414" spans="1:2">
      <c r="A414" t="s">
        <v>192</v>
      </c>
      <c r="B414" t="s">
        <v>201</v>
      </c>
    </row>
    <row r="415" spans="1:2">
      <c r="A415" t="s">
        <v>192</v>
      </c>
      <c r="B415" t="s">
        <v>202</v>
      </c>
    </row>
    <row r="416" spans="1:2">
      <c r="A416" t="s">
        <v>192</v>
      </c>
      <c r="B416" t="s">
        <v>203</v>
      </c>
    </row>
    <row r="417" spans="1:2">
      <c r="A417" t="s">
        <v>192</v>
      </c>
      <c r="B417" t="s">
        <v>204</v>
      </c>
    </row>
    <row r="418" spans="1:2">
      <c r="A418" t="s">
        <v>192</v>
      </c>
      <c r="B418" t="s">
        <v>205</v>
      </c>
    </row>
    <row r="419" spans="1:2">
      <c r="A419" t="s">
        <v>192</v>
      </c>
      <c r="B419" t="s">
        <v>206</v>
      </c>
    </row>
    <row r="420" spans="1:2">
      <c r="A420" t="s">
        <v>192</v>
      </c>
      <c r="B420" t="s">
        <v>207</v>
      </c>
    </row>
    <row r="421" spans="1:2">
      <c r="A421" t="s">
        <v>192</v>
      </c>
      <c r="B421" t="s">
        <v>208</v>
      </c>
    </row>
    <row r="422" spans="1:2">
      <c r="A422" t="s">
        <v>192</v>
      </c>
      <c r="B422" t="s">
        <v>209</v>
      </c>
    </row>
    <row r="423" spans="1:2">
      <c r="A423" t="s">
        <v>192</v>
      </c>
      <c r="B423" t="s">
        <v>210</v>
      </c>
    </row>
    <row r="424" spans="1:2">
      <c r="A424" t="s">
        <v>192</v>
      </c>
      <c r="B424" t="s">
        <v>211</v>
      </c>
    </row>
    <row r="425" spans="1:2">
      <c r="A425" t="s">
        <v>192</v>
      </c>
      <c r="B425" t="s">
        <v>212</v>
      </c>
    </row>
    <row r="426" spans="1:2">
      <c r="A426" t="s">
        <v>192</v>
      </c>
      <c r="B426" t="s">
        <v>213</v>
      </c>
    </row>
    <row r="427" spans="1:2">
      <c r="A427" t="s">
        <v>192</v>
      </c>
      <c r="B427" t="s">
        <v>214</v>
      </c>
    </row>
    <row r="428" spans="1:2">
      <c r="A428" t="s">
        <v>192</v>
      </c>
      <c r="B428" t="s">
        <v>215</v>
      </c>
    </row>
    <row r="429" spans="1:2">
      <c r="A429" t="s">
        <v>192</v>
      </c>
      <c r="B429" t="s">
        <v>216</v>
      </c>
    </row>
    <row r="430" spans="1:2">
      <c r="A430" t="s">
        <v>192</v>
      </c>
      <c r="B430" t="s">
        <v>217</v>
      </c>
    </row>
    <row r="431" spans="1:2">
      <c r="A431" t="s">
        <v>192</v>
      </c>
      <c r="B431" t="s">
        <v>218</v>
      </c>
    </row>
    <row r="432" spans="1:2">
      <c r="A432" t="s">
        <v>192</v>
      </c>
      <c r="B432" t="s">
        <v>219</v>
      </c>
    </row>
    <row r="433" spans="1:2">
      <c r="A433" t="s">
        <v>192</v>
      </c>
      <c r="B433" t="s">
        <v>220</v>
      </c>
    </row>
    <row r="434" spans="1:2">
      <c r="A434" t="s">
        <v>192</v>
      </c>
      <c r="B434" t="s">
        <v>221</v>
      </c>
    </row>
    <row r="435" spans="1:2">
      <c r="A435" t="s">
        <v>192</v>
      </c>
      <c r="B435" t="s">
        <v>222</v>
      </c>
    </row>
    <row r="436" spans="1:2">
      <c r="A436" t="s">
        <v>192</v>
      </c>
      <c r="B436" t="s">
        <v>223</v>
      </c>
    </row>
    <row r="437" spans="1:2">
      <c r="A437" t="s">
        <v>192</v>
      </c>
      <c r="B437" t="s">
        <v>224</v>
      </c>
    </row>
    <row r="438" spans="1:2">
      <c r="A438" t="s">
        <v>192</v>
      </c>
      <c r="B438" t="s">
        <v>225</v>
      </c>
    </row>
    <row r="439" spans="1:2">
      <c r="A439" t="s">
        <v>192</v>
      </c>
      <c r="B439" t="s">
        <v>226</v>
      </c>
    </row>
    <row r="440" spans="1:2">
      <c r="A440" t="s">
        <v>192</v>
      </c>
      <c r="B440" t="s">
        <v>227</v>
      </c>
    </row>
    <row r="441" spans="1:2">
      <c r="A441" t="s">
        <v>192</v>
      </c>
      <c r="B441" t="s">
        <v>228</v>
      </c>
    </row>
    <row r="442" spans="1:2">
      <c r="A442" t="s">
        <v>192</v>
      </c>
      <c r="B442" t="s">
        <v>229</v>
      </c>
    </row>
    <row r="443" spans="1:2">
      <c r="A443" t="s">
        <v>192</v>
      </c>
      <c r="B443" t="s">
        <v>230</v>
      </c>
    </row>
    <row r="444" spans="1:2">
      <c r="A444" t="s">
        <v>192</v>
      </c>
      <c r="B444" t="s">
        <v>231</v>
      </c>
    </row>
    <row r="445" spans="1:2">
      <c r="A445" t="s">
        <v>192</v>
      </c>
      <c r="B445" t="s">
        <v>232</v>
      </c>
    </row>
    <row r="446" spans="1:2">
      <c r="A446" t="s">
        <v>192</v>
      </c>
      <c r="B446" t="s">
        <v>233</v>
      </c>
    </row>
    <row r="447" spans="1:2">
      <c r="A447" t="s">
        <v>192</v>
      </c>
      <c r="B447" t="s">
        <v>234</v>
      </c>
    </row>
    <row r="448" spans="1:2">
      <c r="A448" t="s">
        <v>192</v>
      </c>
      <c r="B448" t="s">
        <v>235</v>
      </c>
    </row>
    <row r="449" spans="1:2">
      <c r="A449" t="s">
        <v>192</v>
      </c>
      <c r="B449" t="s">
        <v>236</v>
      </c>
    </row>
    <row r="450" spans="1:2">
      <c r="A450" t="s">
        <v>192</v>
      </c>
      <c r="B450" t="s">
        <v>237</v>
      </c>
    </row>
    <row r="451" spans="1:2">
      <c r="A451" t="s">
        <v>192</v>
      </c>
      <c r="B451" t="s">
        <v>238</v>
      </c>
    </row>
    <row r="452" spans="1:2">
      <c r="A452" t="s">
        <v>192</v>
      </c>
      <c r="B452" t="s">
        <v>239</v>
      </c>
    </row>
    <row r="453" spans="1:2">
      <c r="A453" t="s">
        <v>192</v>
      </c>
      <c r="B453" t="s">
        <v>240</v>
      </c>
    </row>
    <row r="454" spans="1:2">
      <c r="A454" t="s">
        <v>192</v>
      </c>
      <c r="B454" t="s">
        <v>241</v>
      </c>
    </row>
    <row r="455" spans="1:2">
      <c r="A455" t="s">
        <v>192</v>
      </c>
      <c r="B455" t="s">
        <v>242</v>
      </c>
    </row>
    <row r="456" spans="1:2">
      <c r="A456" t="s">
        <v>192</v>
      </c>
      <c r="B456" t="s">
        <v>243</v>
      </c>
    </row>
    <row r="457" spans="1:2">
      <c r="A457" t="s">
        <v>192</v>
      </c>
      <c r="B457" t="s">
        <v>244</v>
      </c>
    </row>
    <row r="458" spans="1:2">
      <c r="A458" t="s">
        <v>192</v>
      </c>
      <c r="B458" t="s">
        <v>245</v>
      </c>
    </row>
    <row r="459" spans="1:2">
      <c r="A459" t="s">
        <v>192</v>
      </c>
      <c r="B459" t="s">
        <v>246</v>
      </c>
    </row>
    <row r="460" spans="1:2">
      <c r="A460" t="s">
        <v>192</v>
      </c>
      <c r="B460" t="s">
        <v>247</v>
      </c>
    </row>
    <row r="461" spans="1:2">
      <c r="A461" t="s">
        <v>192</v>
      </c>
      <c r="B461" t="s">
        <v>248</v>
      </c>
    </row>
    <row r="462" spans="1:2">
      <c r="A462" t="s">
        <v>192</v>
      </c>
      <c r="B462" t="s">
        <v>249</v>
      </c>
    </row>
    <row r="463" spans="1:2">
      <c r="A463" t="s">
        <v>192</v>
      </c>
      <c r="B463" t="s">
        <v>250</v>
      </c>
    </row>
    <row r="464" spans="1:2">
      <c r="A464" t="s">
        <v>192</v>
      </c>
      <c r="B464" t="s">
        <v>251</v>
      </c>
    </row>
    <row r="465" spans="1:2">
      <c r="A465" t="s">
        <v>192</v>
      </c>
      <c r="B465" t="s">
        <v>252</v>
      </c>
    </row>
    <row r="466" spans="1:2">
      <c r="A466" t="s">
        <v>192</v>
      </c>
      <c r="B466" t="s">
        <v>253</v>
      </c>
    </row>
    <row r="467" spans="1:2">
      <c r="A467" t="s">
        <v>192</v>
      </c>
      <c r="B467" t="s">
        <v>254</v>
      </c>
    </row>
    <row r="468" spans="1:2">
      <c r="A468" t="s">
        <v>192</v>
      </c>
      <c r="B468" t="s">
        <v>255</v>
      </c>
    </row>
    <row r="469" spans="1:2">
      <c r="A469" t="s">
        <v>192</v>
      </c>
      <c r="B469" t="s">
        <v>256</v>
      </c>
    </row>
    <row r="470" spans="1:2">
      <c r="A470" t="s">
        <v>192</v>
      </c>
      <c r="B470" t="s">
        <v>257</v>
      </c>
    </row>
    <row r="471" spans="1:2">
      <c r="A471" t="s">
        <v>192</v>
      </c>
      <c r="B471" t="s">
        <v>258</v>
      </c>
    </row>
    <row r="472" spans="1:2">
      <c r="A472" t="s">
        <v>192</v>
      </c>
      <c r="B472" t="s">
        <v>259</v>
      </c>
    </row>
    <row r="473" spans="1:2">
      <c r="A473" t="s">
        <v>192</v>
      </c>
      <c r="B473" t="s">
        <v>260</v>
      </c>
    </row>
    <row r="474" spans="1:2">
      <c r="A474" t="s">
        <v>192</v>
      </c>
      <c r="B474" t="s">
        <v>261</v>
      </c>
    </row>
    <row r="475" spans="1:2">
      <c r="A475" t="s">
        <v>192</v>
      </c>
      <c r="B475" t="s">
        <v>262</v>
      </c>
    </row>
    <row r="476" spans="1:2">
      <c r="A476" t="s">
        <v>192</v>
      </c>
      <c r="B476" t="s">
        <v>263</v>
      </c>
    </row>
    <row r="477" spans="1:2">
      <c r="A477" t="s">
        <v>192</v>
      </c>
      <c r="B477" t="s">
        <v>264</v>
      </c>
    </row>
    <row r="478" spans="1:2">
      <c r="A478" t="s">
        <v>192</v>
      </c>
      <c r="B478" t="s">
        <v>265</v>
      </c>
    </row>
    <row r="479" spans="1:2">
      <c r="A479" t="s">
        <v>192</v>
      </c>
      <c r="B479" t="s">
        <v>266</v>
      </c>
    </row>
    <row r="480" spans="1:2">
      <c r="A480" t="s">
        <v>192</v>
      </c>
      <c r="B480" t="s">
        <v>267</v>
      </c>
    </row>
    <row r="481" spans="1:2">
      <c r="A481" t="s">
        <v>192</v>
      </c>
      <c r="B481" t="s">
        <v>268</v>
      </c>
    </row>
    <row r="482" spans="1:2">
      <c r="A482" t="s">
        <v>192</v>
      </c>
      <c r="B482" t="s">
        <v>269</v>
      </c>
    </row>
    <row r="483" spans="1:2">
      <c r="A483" t="s">
        <v>192</v>
      </c>
      <c r="B483" t="s">
        <v>270</v>
      </c>
    </row>
    <row r="484" spans="1:2">
      <c r="A484" t="s">
        <v>192</v>
      </c>
      <c r="B484" t="s">
        <v>271</v>
      </c>
    </row>
    <row r="485" spans="1:2">
      <c r="A485" t="s">
        <v>192</v>
      </c>
      <c r="B485" t="s">
        <v>272</v>
      </c>
    </row>
    <row r="486" spans="1:2">
      <c r="A486" t="s">
        <v>192</v>
      </c>
      <c r="B486" t="s">
        <v>273</v>
      </c>
    </row>
    <row r="487" spans="1:2">
      <c r="A487" t="s">
        <v>192</v>
      </c>
      <c r="B487" t="s">
        <v>274</v>
      </c>
    </row>
    <row r="488" spans="1:2">
      <c r="A488" t="s">
        <v>192</v>
      </c>
      <c r="B488" t="s">
        <v>275</v>
      </c>
    </row>
    <row r="489" spans="1:2">
      <c r="A489" t="s">
        <v>192</v>
      </c>
      <c r="B489" t="s">
        <v>276</v>
      </c>
    </row>
    <row r="490" spans="1:2">
      <c r="A490" t="s">
        <v>192</v>
      </c>
      <c r="B490" t="s">
        <v>277</v>
      </c>
    </row>
    <row r="491" spans="1:2">
      <c r="A491" t="s">
        <v>192</v>
      </c>
      <c r="B491" t="s">
        <v>278</v>
      </c>
    </row>
    <row r="492" spans="1:2">
      <c r="A492" t="s">
        <v>192</v>
      </c>
      <c r="B492" t="s">
        <v>279</v>
      </c>
    </row>
    <row r="493" spans="1:2">
      <c r="A493" t="s">
        <v>192</v>
      </c>
      <c r="B493" t="s">
        <v>280</v>
      </c>
    </row>
    <row r="494" spans="1:2">
      <c r="A494" t="s">
        <v>192</v>
      </c>
      <c r="B494" t="s">
        <v>281</v>
      </c>
    </row>
    <row r="495" spans="1:2">
      <c r="A495" t="s">
        <v>192</v>
      </c>
      <c r="B495" t="s">
        <v>282</v>
      </c>
    </row>
    <row r="496" spans="1:2">
      <c r="A496" t="s">
        <v>192</v>
      </c>
      <c r="B496" t="s">
        <v>283</v>
      </c>
    </row>
    <row r="497" spans="1:2">
      <c r="A497" t="s">
        <v>192</v>
      </c>
      <c r="B497" t="s">
        <v>284</v>
      </c>
    </row>
    <row r="498" spans="1:2">
      <c r="A498" t="s">
        <v>192</v>
      </c>
      <c r="B498" t="s">
        <v>285</v>
      </c>
    </row>
    <row r="499" spans="1:2">
      <c r="A499" t="s">
        <v>192</v>
      </c>
      <c r="B499" t="s">
        <v>286</v>
      </c>
    </row>
    <row r="500" spans="1:2">
      <c r="A500" t="s">
        <v>192</v>
      </c>
      <c r="B500" t="s">
        <v>287</v>
      </c>
    </row>
    <row r="501" spans="1:2">
      <c r="A501" t="s">
        <v>192</v>
      </c>
      <c r="B501" t="s">
        <v>288</v>
      </c>
    </row>
    <row r="502" spans="1:2">
      <c r="A502" t="s">
        <v>192</v>
      </c>
      <c r="B502" t="s">
        <v>289</v>
      </c>
    </row>
    <row r="503" spans="1:2">
      <c r="A503" t="s">
        <v>192</v>
      </c>
      <c r="B503" t="s">
        <v>290</v>
      </c>
    </row>
    <row r="504" spans="1:2">
      <c r="A504" t="s">
        <v>192</v>
      </c>
      <c r="B504" t="s">
        <v>291</v>
      </c>
    </row>
    <row r="505" spans="1:2">
      <c r="A505" t="s">
        <v>192</v>
      </c>
      <c r="B505" t="s">
        <v>292</v>
      </c>
    </row>
    <row r="506" spans="1:2">
      <c r="A506" t="s">
        <v>192</v>
      </c>
      <c r="B506" t="s">
        <v>293</v>
      </c>
    </row>
    <row r="507" spans="1:2">
      <c r="A507" t="s">
        <v>192</v>
      </c>
      <c r="B507" t="s">
        <v>294</v>
      </c>
    </row>
    <row r="508" spans="1:2">
      <c r="A508" t="s">
        <v>192</v>
      </c>
      <c r="B508" t="s">
        <v>295</v>
      </c>
    </row>
    <row r="509" spans="1:2">
      <c r="A509" t="s">
        <v>192</v>
      </c>
      <c r="B509" t="s">
        <v>296</v>
      </c>
    </row>
    <row r="510" spans="1:2">
      <c r="A510" t="s">
        <v>192</v>
      </c>
      <c r="B510" t="s">
        <v>297</v>
      </c>
    </row>
    <row r="511" spans="1:2">
      <c r="A511" t="s">
        <v>192</v>
      </c>
      <c r="B511" t="s">
        <v>298</v>
      </c>
    </row>
    <row r="512" spans="1:2">
      <c r="A512" t="s">
        <v>192</v>
      </c>
      <c r="B512" t="s">
        <v>299</v>
      </c>
    </row>
    <row r="513" spans="1:2">
      <c r="A513" t="s">
        <v>192</v>
      </c>
      <c r="B513" t="s">
        <v>300</v>
      </c>
    </row>
    <row r="514" spans="1:2">
      <c r="A514" t="s">
        <v>192</v>
      </c>
      <c r="B514" t="s">
        <v>301</v>
      </c>
    </row>
    <row r="515" spans="1:2">
      <c r="A515" t="s">
        <v>192</v>
      </c>
      <c r="B515" t="s">
        <v>302</v>
      </c>
    </row>
    <row r="516" spans="1:2">
      <c r="A516" t="s">
        <v>192</v>
      </c>
      <c r="B516" t="s">
        <v>303</v>
      </c>
    </row>
    <row r="517" spans="1:2">
      <c r="A517" t="s">
        <v>192</v>
      </c>
      <c r="B517" t="s">
        <v>304</v>
      </c>
    </row>
    <row r="518" spans="1:2">
      <c r="A518" t="s">
        <v>192</v>
      </c>
      <c r="B518" t="s">
        <v>305</v>
      </c>
    </row>
    <row r="519" spans="1:2">
      <c r="A519" t="s">
        <v>192</v>
      </c>
      <c r="B519" t="s">
        <v>306</v>
      </c>
    </row>
    <row r="520" spans="1:2">
      <c r="A520" t="s">
        <v>192</v>
      </c>
      <c r="B520" t="s">
        <v>307</v>
      </c>
    </row>
    <row r="521" spans="1:2">
      <c r="A521" t="s">
        <v>192</v>
      </c>
      <c r="B521" t="s">
        <v>308</v>
      </c>
    </row>
    <row r="522" spans="1:2">
      <c r="A522" t="s">
        <v>192</v>
      </c>
      <c r="B522" t="s">
        <v>309</v>
      </c>
    </row>
    <row r="523" spans="1:2">
      <c r="A523" t="s">
        <v>192</v>
      </c>
      <c r="B523" t="s">
        <v>310</v>
      </c>
    </row>
    <row r="524" spans="1:2">
      <c r="A524" t="s">
        <v>192</v>
      </c>
      <c r="B524" t="s">
        <v>311</v>
      </c>
    </row>
    <row r="525" spans="1:2">
      <c r="A525" t="s">
        <v>192</v>
      </c>
      <c r="B525" t="s">
        <v>312</v>
      </c>
    </row>
    <row r="526" spans="1:2">
      <c r="A526" t="s">
        <v>192</v>
      </c>
      <c r="B526" t="s">
        <v>313</v>
      </c>
    </row>
    <row r="527" spans="1:2">
      <c r="A527" t="s">
        <v>192</v>
      </c>
      <c r="B527" t="s">
        <v>314</v>
      </c>
    </row>
    <row r="528" spans="1:2">
      <c r="A528" t="s">
        <v>192</v>
      </c>
      <c r="B528" t="s">
        <v>315</v>
      </c>
    </row>
    <row r="529" spans="1:2">
      <c r="A529" t="s">
        <v>192</v>
      </c>
      <c r="B529" t="s">
        <v>316</v>
      </c>
    </row>
    <row r="530" spans="1:2">
      <c r="A530" t="s">
        <v>192</v>
      </c>
      <c r="B530" t="s">
        <v>317</v>
      </c>
    </row>
    <row r="531" spans="1:2">
      <c r="A531" t="s">
        <v>192</v>
      </c>
      <c r="B531" t="s">
        <v>318</v>
      </c>
    </row>
    <row r="532" spans="1:2">
      <c r="A532" t="s">
        <v>192</v>
      </c>
      <c r="B532" t="s">
        <v>319</v>
      </c>
    </row>
    <row r="533" spans="1:2">
      <c r="A533" t="s">
        <v>192</v>
      </c>
      <c r="B533" t="s">
        <v>320</v>
      </c>
    </row>
    <row r="534" spans="1:2">
      <c r="A534" t="s">
        <v>192</v>
      </c>
      <c r="B534" t="s">
        <v>321</v>
      </c>
    </row>
    <row r="535" spans="1:2">
      <c r="A535" t="s">
        <v>192</v>
      </c>
      <c r="B535" t="s">
        <v>322</v>
      </c>
    </row>
    <row r="536" spans="1:2">
      <c r="A536" t="s">
        <v>192</v>
      </c>
      <c r="B536" t="s">
        <v>323</v>
      </c>
    </row>
    <row r="537" spans="1:2">
      <c r="A537" t="s">
        <v>192</v>
      </c>
      <c r="B537" t="s">
        <v>324</v>
      </c>
    </row>
    <row r="538" spans="1:2">
      <c r="A538" t="s">
        <v>192</v>
      </c>
      <c r="B538" t="s">
        <v>325</v>
      </c>
    </row>
    <row r="539" spans="1:2">
      <c r="A539" t="s">
        <v>192</v>
      </c>
      <c r="B539" t="s">
        <v>326</v>
      </c>
    </row>
    <row r="540" spans="1:2">
      <c r="A540" t="s">
        <v>192</v>
      </c>
      <c r="B540" t="s">
        <v>327</v>
      </c>
    </row>
    <row r="541" spans="1:2">
      <c r="A541" t="s">
        <v>192</v>
      </c>
      <c r="B541" t="s">
        <v>328</v>
      </c>
    </row>
    <row r="542" spans="1:2">
      <c r="A542" t="s">
        <v>192</v>
      </c>
      <c r="B542" t="s">
        <v>329</v>
      </c>
    </row>
    <row r="543" spans="1:2">
      <c r="A543" t="s">
        <v>192</v>
      </c>
      <c r="B543" t="s">
        <v>330</v>
      </c>
    </row>
    <row r="544" spans="1:2">
      <c r="A544" t="s">
        <v>192</v>
      </c>
      <c r="B544" t="s">
        <v>331</v>
      </c>
    </row>
    <row r="545" spans="1:2">
      <c r="A545" t="s">
        <v>192</v>
      </c>
      <c r="B545" t="s">
        <v>332</v>
      </c>
    </row>
    <row r="546" spans="1:2">
      <c r="A546" t="s">
        <v>192</v>
      </c>
      <c r="B546" t="s">
        <v>333</v>
      </c>
    </row>
    <row r="547" spans="1:2">
      <c r="A547" t="s">
        <v>192</v>
      </c>
      <c r="B547" t="s">
        <v>334</v>
      </c>
    </row>
    <row r="548" spans="1:2">
      <c r="A548" t="s">
        <v>192</v>
      </c>
      <c r="B548" t="s">
        <v>335</v>
      </c>
    </row>
    <row r="549" spans="1:2">
      <c r="A549" t="s">
        <v>192</v>
      </c>
      <c r="B549" t="s">
        <v>336</v>
      </c>
    </row>
    <row r="550" spans="1:2">
      <c r="A550" t="s">
        <v>192</v>
      </c>
      <c r="B550" t="s">
        <v>337</v>
      </c>
    </row>
    <row r="551" spans="1:2">
      <c r="A551" t="s">
        <v>192</v>
      </c>
      <c r="B551"/>
    </row>
    <row r="552" spans="1:2">
      <c r="A552" t="s">
        <v>192</v>
      </c>
      <c r="B552" t="s">
        <v>338</v>
      </c>
    </row>
    <row r="553" spans="1:2">
      <c r="A553" t="s">
        <v>192</v>
      </c>
      <c r="B553" t="s">
        <v>339</v>
      </c>
    </row>
    <row r="554" spans="1:2">
      <c r="A554" t="s">
        <v>192</v>
      </c>
      <c r="B554" t="s">
        <v>340</v>
      </c>
    </row>
    <row r="555" spans="1:2">
      <c r="A555" t="s">
        <v>192</v>
      </c>
      <c r="B555" t="s">
        <v>341</v>
      </c>
    </row>
    <row r="556" spans="1:2">
      <c r="A556" t="s">
        <v>192</v>
      </c>
      <c r="B556" t="s">
        <v>342</v>
      </c>
    </row>
    <row r="557" spans="1:2">
      <c r="A557" t="s">
        <v>192</v>
      </c>
      <c r="B557" t="s">
        <v>343</v>
      </c>
    </row>
    <row r="558" spans="1:2">
      <c r="A558" t="s">
        <v>192</v>
      </c>
      <c r="B558" t="s">
        <v>344</v>
      </c>
    </row>
    <row r="559" spans="1:2">
      <c r="A559" t="s">
        <v>192</v>
      </c>
      <c r="B559" t="s">
        <v>345</v>
      </c>
    </row>
    <row r="560" spans="1:2">
      <c r="A560" t="s">
        <v>192</v>
      </c>
      <c r="B560" t="s">
        <v>346</v>
      </c>
    </row>
    <row r="561" spans="1:2">
      <c r="A561" t="s">
        <v>192</v>
      </c>
      <c r="B561" t="s">
        <v>347</v>
      </c>
    </row>
    <row r="562" spans="1:2">
      <c r="A562" t="s">
        <v>192</v>
      </c>
      <c r="B562" t="s">
        <v>348</v>
      </c>
    </row>
    <row r="563" spans="1:2">
      <c r="A563" t="s">
        <v>192</v>
      </c>
      <c r="B563" t="s">
        <v>349</v>
      </c>
    </row>
    <row r="564" spans="1:2">
      <c r="A564" t="s">
        <v>192</v>
      </c>
      <c r="B564" t="s">
        <v>350</v>
      </c>
    </row>
    <row r="565" spans="1:2">
      <c r="A565" t="s">
        <v>192</v>
      </c>
      <c r="B565" t="s">
        <v>351</v>
      </c>
    </row>
    <row r="566" spans="1:2">
      <c r="A566" t="s">
        <v>192</v>
      </c>
      <c r="B566" t="s">
        <v>352</v>
      </c>
    </row>
    <row r="567" spans="1:2">
      <c r="A567" t="s">
        <v>192</v>
      </c>
      <c r="B567" t="s">
        <v>353</v>
      </c>
    </row>
    <row r="568" spans="1:2">
      <c r="A568" t="s">
        <v>192</v>
      </c>
      <c r="B568" t="s">
        <v>354</v>
      </c>
    </row>
    <row r="569" spans="1:2">
      <c r="A569" t="s">
        <v>192</v>
      </c>
      <c r="B569" t="s">
        <v>355</v>
      </c>
    </row>
    <row r="570" spans="1:2">
      <c r="A570" t="s">
        <v>721</v>
      </c>
      <c r="B570" t="s">
        <v>722</v>
      </c>
    </row>
    <row r="571" spans="1:2">
      <c r="A571" t="s">
        <v>721</v>
      </c>
      <c r="B571" t="s">
        <v>723</v>
      </c>
    </row>
    <row r="572" spans="1:2">
      <c r="A572" t="s">
        <v>721</v>
      </c>
      <c r="B572" t="s">
        <v>724</v>
      </c>
    </row>
    <row r="573" spans="1:2">
      <c r="A573" t="s">
        <v>721</v>
      </c>
      <c r="B573" t="s">
        <v>725</v>
      </c>
    </row>
    <row r="574" spans="1:2">
      <c r="A574" t="s">
        <v>721</v>
      </c>
      <c r="B574" t="s">
        <v>726</v>
      </c>
    </row>
    <row r="575" spans="1:2">
      <c r="A575" t="s">
        <v>721</v>
      </c>
      <c r="B575" t="s">
        <v>727</v>
      </c>
    </row>
    <row r="576" spans="1:2">
      <c r="A576" t="s">
        <v>721</v>
      </c>
      <c r="B576" t="s">
        <v>728</v>
      </c>
    </row>
    <row r="577" spans="1:2">
      <c r="A577" t="s">
        <v>721</v>
      </c>
      <c r="B577" t="s">
        <v>729</v>
      </c>
    </row>
    <row r="578" spans="1:2">
      <c r="A578" t="s">
        <v>721</v>
      </c>
      <c r="B578" t="s">
        <v>744</v>
      </c>
    </row>
    <row r="579" spans="1:2">
      <c r="A579" t="s">
        <v>721</v>
      </c>
      <c r="B579" t="s">
        <v>745</v>
      </c>
    </row>
    <row r="580" spans="1:2">
      <c r="A580" t="s">
        <v>721</v>
      </c>
      <c r="B580" t="s">
        <v>746</v>
      </c>
    </row>
    <row r="581" spans="1:2">
      <c r="A581" t="s">
        <v>721</v>
      </c>
      <c r="B581" t="s">
        <v>747</v>
      </c>
    </row>
    <row r="582" spans="1:2">
      <c r="A582" t="s">
        <v>721</v>
      </c>
      <c r="B582" t="s">
        <v>748</v>
      </c>
    </row>
    <row r="583" spans="1:2">
      <c r="A583" t="s">
        <v>721</v>
      </c>
      <c r="B583" t="s">
        <v>763</v>
      </c>
    </row>
    <row r="584" spans="1:2">
      <c r="A584" t="s">
        <v>721</v>
      </c>
      <c r="B584" t="s">
        <v>768</v>
      </c>
    </row>
    <row r="585" spans="1:2">
      <c r="A585" t="s">
        <v>721</v>
      </c>
      <c r="B585" t="s">
        <v>769</v>
      </c>
    </row>
    <row r="586" spans="1:2">
      <c r="A586" t="s">
        <v>721</v>
      </c>
      <c r="B586" t="s">
        <v>770</v>
      </c>
    </row>
    <row r="587" spans="1:2">
      <c r="A587" t="s">
        <v>721</v>
      </c>
      <c r="B587" t="s">
        <v>773</v>
      </c>
    </row>
    <row r="588" spans="1:2">
      <c r="A588" t="s">
        <v>721</v>
      </c>
      <c r="B588" t="s">
        <v>774</v>
      </c>
    </row>
    <row r="589" spans="1:2">
      <c r="A589" t="s">
        <v>721</v>
      </c>
      <c r="B589" t="s">
        <v>775</v>
      </c>
    </row>
    <row r="590" spans="1:2">
      <c r="A590" t="s">
        <v>721</v>
      </c>
      <c r="B590" t="s">
        <v>776</v>
      </c>
    </row>
    <row r="591" spans="1:2">
      <c r="A591" t="s">
        <v>721</v>
      </c>
      <c r="B591" t="s">
        <v>777</v>
      </c>
    </row>
    <row r="592" spans="1:2">
      <c r="A592" t="s">
        <v>721</v>
      </c>
      <c r="B592" t="s">
        <v>778</v>
      </c>
    </row>
    <row r="593" spans="1:2">
      <c r="A593" t="s">
        <v>721</v>
      </c>
      <c r="B593" t="s">
        <v>787</v>
      </c>
    </row>
    <row r="594" spans="1:2">
      <c r="A594" t="s">
        <v>721</v>
      </c>
      <c r="B594" t="s">
        <v>788</v>
      </c>
    </row>
    <row r="595" spans="1:2">
      <c r="A595" t="s">
        <v>721</v>
      </c>
      <c r="B595" t="s">
        <v>789</v>
      </c>
    </row>
    <row r="596" spans="1:2">
      <c r="A596" t="s">
        <v>721</v>
      </c>
      <c r="B596" t="s">
        <v>795</v>
      </c>
    </row>
    <row r="597" spans="1:2">
      <c r="A597" t="s">
        <v>721</v>
      </c>
      <c r="B597" t="s">
        <v>802</v>
      </c>
    </row>
    <row r="598" spans="1:2">
      <c r="A598" t="s">
        <v>721</v>
      </c>
      <c r="B598" t="s">
        <v>811</v>
      </c>
    </row>
    <row r="599" spans="1:2">
      <c r="A599" t="s">
        <v>721</v>
      </c>
      <c r="B599" t="s">
        <v>823</v>
      </c>
    </row>
    <row r="600" spans="1:2">
      <c r="A600" t="s">
        <v>721</v>
      </c>
      <c r="B600" t="s">
        <v>824</v>
      </c>
    </row>
    <row r="601" spans="1:2">
      <c r="A601" t="s">
        <v>721</v>
      </c>
      <c r="B601" t="s">
        <v>833</v>
      </c>
    </row>
    <row r="602" spans="1:2">
      <c r="A602" t="s">
        <v>721</v>
      </c>
      <c r="B602" t="s">
        <v>836</v>
      </c>
    </row>
    <row r="603" spans="1:2">
      <c r="A603" t="s">
        <v>721</v>
      </c>
      <c r="B603" t="s">
        <v>837</v>
      </c>
    </row>
    <row r="604" spans="1:2">
      <c r="A604" t="s">
        <v>721</v>
      </c>
      <c r="B604" t="s">
        <v>846</v>
      </c>
    </row>
    <row r="605" spans="1:2">
      <c r="A605" t="s">
        <v>721</v>
      </c>
      <c r="B605" t="s">
        <v>850</v>
      </c>
    </row>
    <row r="606" spans="1:2">
      <c r="A606" t="s">
        <v>721</v>
      </c>
      <c r="B606" t="s">
        <v>860</v>
      </c>
    </row>
    <row r="607" spans="1:2">
      <c r="A607" t="s">
        <v>721</v>
      </c>
      <c r="B607" t="s">
        <v>861</v>
      </c>
    </row>
    <row r="608" spans="1:2">
      <c r="A608" t="s">
        <v>721</v>
      </c>
      <c r="B608" t="s">
        <v>862</v>
      </c>
    </row>
    <row r="609" spans="1:2">
      <c r="A609" t="s">
        <v>721</v>
      </c>
      <c r="B609" t="s">
        <v>863</v>
      </c>
    </row>
    <row r="610" spans="1:2">
      <c r="A610" t="s">
        <v>721</v>
      </c>
      <c r="B610" t="s">
        <v>871</v>
      </c>
    </row>
    <row r="611" spans="1:2">
      <c r="A611" t="s">
        <v>59</v>
      </c>
      <c r="B611" t="s">
        <v>625</v>
      </c>
    </row>
    <row r="612" spans="1:2">
      <c r="A612" t="s">
        <v>59</v>
      </c>
      <c r="B612" t="s">
        <v>626</v>
      </c>
    </row>
    <row r="613" spans="1:2">
      <c r="A613" t="s">
        <v>59</v>
      </c>
      <c r="B613" t="s">
        <v>627</v>
      </c>
    </row>
    <row r="614" spans="1:2">
      <c r="A614" t="s">
        <v>59</v>
      </c>
      <c r="B614" t="s">
        <v>628</v>
      </c>
    </row>
    <row r="615" spans="1:2">
      <c r="A615" t="s">
        <v>59</v>
      </c>
      <c r="B615" t="s">
        <v>629</v>
      </c>
    </row>
    <row r="616" spans="1:2">
      <c r="A616" t="s">
        <v>59</v>
      </c>
      <c r="B616" t="s">
        <v>630</v>
      </c>
    </row>
    <row r="617" spans="1:2">
      <c r="A617" t="s">
        <v>59</v>
      </c>
      <c r="B617" t="s">
        <v>631</v>
      </c>
    </row>
    <row r="618" spans="1:2">
      <c r="A618" t="s">
        <v>59</v>
      </c>
      <c r="B618" t="s">
        <v>632</v>
      </c>
    </row>
    <row r="619" spans="1:2">
      <c r="A619" t="s">
        <v>59</v>
      </c>
      <c r="B619" t="s">
        <v>633</v>
      </c>
    </row>
    <row r="620" spans="1:2">
      <c r="A620" t="s">
        <v>59</v>
      </c>
      <c r="B620" t="s">
        <v>634</v>
      </c>
    </row>
    <row r="621" spans="1:2">
      <c r="A621" t="s">
        <v>59</v>
      </c>
      <c r="B621" t="s">
        <v>635</v>
      </c>
    </row>
    <row r="622" spans="1:2">
      <c r="A622" t="s">
        <v>59</v>
      </c>
      <c r="B622" t="s">
        <v>635</v>
      </c>
    </row>
    <row r="623" spans="1:2">
      <c r="A623" t="s">
        <v>59</v>
      </c>
      <c r="B623" t="s">
        <v>636</v>
      </c>
    </row>
    <row r="624" spans="1:2">
      <c r="A624" t="s">
        <v>59</v>
      </c>
      <c r="B624" t="s">
        <v>637</v>
      </c>
    </row>
    <row r="625" spans="1:2">
      <c r="A625" t="s">
        <v>59</v>
      </c>
      <c r="B625" t="s">
        <v>638</v>
      </c>
    </row>
    <row r="626" spans="1:2">
      <c r="A626" t="s">
        <v>59</v>
      </c>
      <c r="B626" t="s">
        <v>639</v>
      </c>
    </row>
    <row r="627" spans="1:2">
      <c r="A627" t="s">
        <v>59</v>
      </c>
      <c r="B627" t="s">
        <v>640</v>
      </c>
    </row>
    <row r="628" spans="1:2">
      <c r="A628" t="s">
        <v>59</v>
      </c>
      <c r="B628" t="s">
        <v>630</v>
      </c>
    </row>
    <row r="629" spans="1:2">
      <c r="A629" t="s">
        <v>59</v>
      </c>
      <c r="B629" t="s">
        <v>641</v>
      </c>
    </row>
    <row r="630" spans="1:2">
      <c r="A630" t="s">
        <v>59</v>
      </c>
      <c r="B630" t="s">
        <v>642</v>
      </c>
    </row>
    <row r="631" spans="1:2">
      <c r="A631" t="s">
        <v>59</v>
      </c>
      <c r="B631" t="s">
        <v>643</v>
      </c>
    </row>
    <row r="632" spans="1:2">
      <c r="A632" t="s">
        <v>59</v>
      </c>
      <c r="B632" t="s">
        <v>644</v>
      </c>
    </row>
    <row r="633" spans="1:2">
      <c r="A633" t="s">
        <v>59</v>
      </c>
      <c r="B633" t="s">
        <v>645</v>
      </c>
    </row>
    <row r="634" spans="1:2">
      <c r="A634" t="s">
        <v>59</v>
      </c>
      <c r="B634" t="s">
        <v>646</v>
      </c>
    </row>
    <row r="635" spans="1:2">
      <c r="A635" t="s">
        <v>59</v>
      </c>
      <c r="B635" t="s">
        <v>647</v>
      </c>
    </row>
    <row r="636" spans="1:2">
      <c r="A636" t="s">
        <v>59</v>
      </c>
      <c r="B636" t="s">
        <v>648</v>
      </c>
    </row>
    <row r="637" spans="1:2">
      <c r="A637" t="s">
        <v>59</v>
      </c>
      <c r="B637" t="s">
        <v>648</v>
      </c>
    </row>
    <row r="638" spans="1:2">
      <c r="A638" t="s">
        <v>59</v>
      </c>
      <c r="B638" t="s">
        <v>649</v>
      </c>
    </row>
    <row r="639" spans="1:2">
      <c r="A639" t="s">
        <v>59</v>
      </c>
      <c r="B639" t="s">
        <v>650</v>
      </c>
    </row>
    <row r="640" spans="1:2">
      <c r="A640" t="s">
        <v>59</v>
      </c>
      <c r="B640" t="s">
        <v>648</v>
      </c>
    </row>
    <row r="641" spans="1:2">
      <c r="A641" t="s">
        <v>59</v>
      </c>
      <c r="B641" t="s">
        <v>651</v>
      </c>
    </row>
    <row r="642" spans="1:2">
      <c r="A642" t="s">
        <v>59</v>
      </c>
      <c r="B642" t="s">
        <v>652</v>
      </c>
    </row>
    <row r="643" spans="1:2">
      <c r="A643" t="s">
        <v>59</v>
      </c>
      <c r="B643" t="s">
        <v>653</v>
      </c>
    </row>
    <row r="644" spans="1:2">
      <c r="A644" t="s">
        <v>59</v>
      </c>
      <c r="B644" t="s">
        <v>654</v>
      </c>
    </row>
    <row r="645" spans="1:2">
      <c r="A645" t="s">
        <v>59</v>
      </c>
      <c r="B645" t="s">
        <v>655</v>
      </c>
    </row>
    <row r="646" spans="1:2">
      <c r="A646" t="s">
        <v>59</v>
      </c>
      <c r="B646" t="s">
        <v>656</v>
      </c>
    </row>
    <row r="647" spans="1:2">
      <c r="A647" t="s">
        <v>59</v>
      </c>
      <c r="B647" t="s">
        <v>657</v>
      </c>
    </row>
    <row r="648" spans="1:2">
      <c r="A648" t="s">
        <v>59</v>
      </c>
      <c r="B648" t="s">
        <v>658</v>
      </c>
    </row>
    <row r="649" spans="1:2">
      <c r="A649" t="s">
        <v>59</v>
      </c>
      <c r="B649" t="s">
        <v>659</v>
      </c>
    </row>
    <row r="650" spans="1:2">
      <c r="A650" t="s">
        <v>59</v>
      </c>
      <c r="B650" t="s">
        <v>660</v>
      </c>
    </row>
    <row r="651" spans="1:2">
      <c r="A651" t="s">
        <v>59</v>
      </c>
      <c r="B651" t="s">
        <v>661</v>
      </c>
    </row>
    <row r="652" spans="1:2">
      <c r="A652" t="s">
        <v>59</v>
      </c>
      <c r="B652" t="s">
        <v>662</v>
      </c>
    </row>
    <row r="653" spans="1:2">
      <c r="A653" t="s">
        <v>59</v>
      </c>
      <c r="B653" t="s">
        <v>663</v>
      </c>
    </row>
    <row r="654" spans="1:2">
      <c r="A654" t="s">
        <v>59</v>
      </c>
      <c r="B654" t="s">
        <v>664</v>
      </c>
    </row>
    <row r="655" spans="1:2">
      <c r="A655" t="s">
        <v>59</v>
      </c>
      <c r="B655" t="s">
        <v>665</v>
      </c>
    </row>
    <row r="656" spans="1:2">
      <c r="A656" t="s">
        <v>59</v>
      </c>
      <c r="B656" t="s">
        <v>666</v>
      </c>
    </row>
    <row r="657" spans="1:2">
      <c r="A657" t="s">
        <v>59</v>
      </c>
      <c r="B657" t="s">
        <v>667</v>
      </c>
    </row>
    <row r="658" spans="1:2">
      <c r="A658" t="s">
        <v>59</v>
      </c>
      <c r="B658" t="s">
        <v>668</v>
      </c>
    </row>
    <row r="659" spans="1:2">
      <c r="A659" t="s">
        <v>59</v>
      </c>
      <c r="B659" t="s">
        <v>669</v>
      </c>
    </row>
    <row r="660" spans="1:2">
      <c r="A660" t="s">
        <v>59</v>
      </c>
      <c r="B660" t="s">
        <v>670</v>
      </c>
    </row>
    <row r="661" spans="1:2">
      <c r="A661" t="s">
        <v>59</v>
      </c>
      <c r="B661" t="s">
        <v>671</v>
      </c>
    </row>
    <row r="662" spans="1:2">
      <c r="A662" t="s">
        <v>59</v>
      </c>
      <c r="B662" t="s">
        <v>672</v>
      </c>
    </row>
    <row r="663" spans="1:2">
      <c r="A663" t="s">
        <v>59</v>
      </c>
      <c r="B663" t="s">
        <v>673</v>
      </c>
    </row>
    <row r="664" spans="1:2">
      <c r="A664" t="s">
        <v>59</v>
      </c>
      <c r="B664" t="s">
        <v>674</v>
      </c>
    </row>
    <row r="665" spans="1:2">
      <c r="A665" t="s">
        <v>59</v>
      </c>
      <c r="B665" t="s">
        <v>675</v>
      </c>
    </row>
    <row r="666" spans="1:2">
      <c r="A666" t="s">
        <v>59</v>
      </c>
      <c r="B666" t="s">
        <v>676</v>
      </c>
    </row>
    <row r="667" spans="1:2">
      <c r="A667" t="s">
        <v>59</v>
      </c>
      <c r="B667" t="s">
        <v>677</v>
      </c>
    </row>
    <row r="668" spans="1:2">
      <c r="A668" t="s">
        <v>59</v>
      </c>
      <c r="B668" t="s">
        <v>678</v>
      </c>
    </row>
    <row r="669" spans="1:2">
      <c r="A669" t="s">
        <v>59</v>
      </c>
      <c r="B669" t="s">
        <v>679</v>
      </c>
    </row>
    <row r="670" spans="1:2">
      <c r="A670" t="s">
        <v>59</v>
      </c>
      <c r="B670" t="s">
        <v>680</v>
      </c>
    </row>
    <row r="671" spans="1:2">
      <c r="A671" t="s">
        <v>59</v>
      </c>
      <c r="B671" t="s">
        <v>681</v>
      </c>
    </row>
    <row r="672" spans="1:2">
      <c r="A672" t="s">
        <v>59</v>
      </c>
      <c r="B672" t="s">
        <v>682</v>
      </c>
    </row>
    <row r="673" spans="1:2">
      <c r="A673" t="s">
        <v>59</v>
      </c>
      <c r="B673" t="s">
        <v>683</v>
      </c>
    </row>
    <row r="674" spans="1:2">
      <c r="A674" t="s">
        <v>59</v>
      </c>
      <c r="B674" t="s">
        <v>684</v>
      </c>
    </row>
    <row r="675" spans="1:2">
      <c r="A675" t="s">
        <v>59</v>
      </c>
      <c r="B675" t="s">
        <v>685</v>
      </c>
    </row>
    <row r="676" spans="1:2">
      <c r="A676" t="s">
        <v>59</v>
      </c>
      <c r="B676" t="s">
        <v>686</v>
      </c>
    </row>
    <row r="677" spans="1:2">
      <c r="A677" t="s">
        <v>59</v>
      </c>
      <c r="B677" t="s">
        <v>687</v>
      </c>
    </row>
    <row r="678" spans="1:2">
      <c r="A678" t="s">
        <v>59</v>
      </c>
      <c r="B678" t="s">
        <v>688</v>
      </c>
    </row>
    <row r="679" spans="1:2">
      <c r="A679" t="s">
        <v>59</v>
      </c>
      <c r="B679" t="s">
        <v>689</v>
      </c>
    </row>
    <row r="680" spans="1:2">
      <c r="A680" t="s">
        <v>59</v>
      </c>
      <c r="B680" t="s">
        <v>690</v>
      </c>
    </row>
    <row r="681" spans="1:2">
      <c r="A681" t="s">
        <v>59</v>
      </c>
      <c r="B681"/>
    </row>
    <row r="682" spans="1:2">
      <c r="A682" t="s">
        <v>59</v>
      </c>
      <c r="B682" t="s">
        <v>691</v>
      </c>
    </row>
    <row r="683" spans="1:2">
      <c r="A683" t="s">
        <v>59</v>
      </c>
      <c r="B683" t="s">
        <v>692</v>
      </c>
    </row>
    <row r="684" spans="1:2">
      <c r="A684" t="s">
        <v>59</v>
      </c>
      <c r="B684" t="s">
        <v>693</v>
      </c>
    </row>
    <row r="685" spans="1:2">
      <c r="A685" t="s">
        <v>59</v>
      </c>
      <c r="B685" t="s">
        <v>694</v>
      </c>
    </row>
    <row r="686" spans="1:2">
      <c r="A686" t="s">
        <v>59</v>
      </c>
      <c r="B686" t="s">
        <v>695</v>
      </c>
    </row>
    <row r="687" spans="1:2">
      <c r="A687" t="s">
        <v>59</v>
      </c>
      <c r="B687" t="s">
        <v>696</v>
      </c>
    </row>
    <row r="688" spans="1:2">
      <c r="A688" t="s">
        <v>59</v>
      </c>
      <c r="B688" t="s">
        <v>697</v>
      </c>
    </row>
    <row r="689" spans="1:2">
      <c r="A689" t="s">
        <v>59</v>
      </c>
      <c r="B689" t="s">
        <v>698</v>
      </c>
    </row>
    <row r="690" spans="1:2">
      <c r="A690" t="s">
        <v>59</v>
      </c>
      <c r="B690" t="s">
        <v>699</v>
      </c>
    </row>
    <row r="691" spans="1:2">
      <c r="A691" t="s">
        <v>59</v>
      </c>
      <c r="B691" t="s">
        <v>700</v>
      </c>
    </row>
    <row r="692" spans="1:2">
      <c r="A692" t="s">
        <v>59</v>
      </c>
      <c r="B692" t="s">
        <v>701</v>
      </c>
    </row>
    <row r="693" spans="1:2">
      <c r="A693" t="s">
        <v>59</v>
      </c>
      <c r="B693" t="s">
        <v>702</v>
      </c>
    </row>
    <row r="694" spans="1:2">
      <c r="A694" t="s">
        <v>59</v>
      </c>
      <c r="B694" t="s">
        <v>703</v>
      </c>
    </row>
    <row r="695" spans="1:2">
      <c r="A695" t="s">
        <v>59</v>
      </c>
      <c r="B695" t="s">
        <v>704</v>
      </c>
    </row>
    <row r="696" spans="1:2">
      <c r="A696" t="s">
        <v>59</v>
      </c>
      <c r="B696" t="s">
        <v>705</v>
      </c>
    </row>
    <row r="697" spans="1:2">
      <c r="A697" t="s">
        <v>59</v>
      </c>
      <c r="B697" t="s">
        <v>706</v>
      </c>
    </row>
    <row r="698" spans="1:2">
      <c r="A698" t="s">
        <v>59</v>
      </c>
      <c r="B698" t="s">
        <v>707</v>
      </c>
    </row>
    <row r="699" spans="1:2">
      <c r="A699" t="s">
        <v>59</v>
      </c>
      <c r="B699" t="s">
        <v>708</v>
      </c>
    </row>
    <row r="700" spans="1:2">
      <c r="A700" t="s">
        <v>59</v>
      </c>
      <c r="B700" t="s">
        <v>709</v>
      </c>
    </row>
    <row r="701" spans="1:2">
      <c r="A701" t="s">
        <v>59</v>
      </c>
      <c r="B701" t="s">
        <v>710</v>
      </c>
    </row>
    <row r="702" spans="1:2">
      <c r="A702" t="s">
        <v>59</v>
      </c>
      <c r="B702" t="s">
        <v>711</v>
      </c>
    </row>
    <row r="703" spans="1:2">
      <c r="A703" t="s">
        <v>59</v>
      </c>
      <c r="B703" t="s">
        <v>712</v>
      </c>
    </row>
    <row r="704" spans="1:2">
      <c r="A704" t="s">
        <v>59</v>
      </c>
      <c r="B704" t="s">
        <v>713</v>
      </c>
    </row>
  </sheetData>
  <sortState ref="A1:B705">
    <sortCondition descending="1" ref="A1:A705"/>
  </sortState>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2"/>
  <sheetViews>
    <sheetView workbookViewId="0">
      <selection activeCell="C17" sqref="C17"/>
    </sheetView>
  </sheetViews>
  <sheetFormatPr defaultRowHeight="13.5"/>
  <sheetData>
    <row r="1" spans="1:5">
      <c r="B1" t="s">
        <v>0</v>
      </c>
      <c r="C1" t="s">
        <v>1</v>
      </c>
      <c r="D1" t="s">
        <v>2</v>
      </c>
      <c r="E1" t="s">
        <v>3</v>
      </c>
    </row>
    <row r="2" spans="1:5">
      <c r="A2">
        <v>2001</v>
      </c>
      <c r="B2">
        <f ca="1">100*RAND()</f>
        <v>75.339104230977199</v>
      </c>
      <c r="C2">
        <f t="shared" ref="C2:E12" ca="1" si="0">100*RAND()</f>
        <v>64.716947093567541</v>
      </c>
      <c r="D2">
        <f t="shared" ca="1" si="0"/>
        <v>48.302652890656759</v>
      </c>
      <c r="E2">
        <f t="shared" ca="1" si="0"/>
        <v>94.068761041341574</v>
      </c>
    </row>
    <row r="3" spans="1:5">
      <c r="A3">
        <v>2002</v>
      </c>
      <c r="B3">
        <f t="shared" ref="B3:B12" ca="1" si="1">100*RAND()</f>
        <v>9.6198195246878111</v>
      </c>
      <c r="C3">
        <f t="shared" ca="1" si="0"/>
        <v>43.973912259981361</v>
      </c>
      <c r="D3">
        <f t="shared" ca="1" si="0"/>
        <v>45.590279173465518</v>
      </c>
      <c r="E3">
        <f t="shared" ca="1" si="0"/>
        <v>85.609721025167417</v>
      </c>
    </row>
    <row r="4" spans="1:5">
      <c r="A4">
        <v>2003</v>
      </c>
      <c r="B4">
        <f t="shared" ca="1" si="1"/>
        <v>71.005994109372494</v>
      </c>
      <c r="C4">
        <f t="shared" ca="1" si="0"/>
        <v>85.921261489663323</v>
      </c>
      <c r="D4">
        <f t="shared" ca="1" si="0"/>
        <v>14.965477905269653</v>
      </c>
      <c r="E4">
        <f t="shared" ca="1" si="0"/>
        <v>69.198399091790236</v>
      </c>
    </row>
    <row r="5" spans="1:5">
      <c r="A5">
        <v>2004</v>
      </c>
      <c r="B5">
        <f t="shared" ca="1" si="1"/>
        <v>93.344546450929556</v>
      </c>
      <c r="C5">
        <f t="shared" ca="1" si="0"/>
        <v>8.5445489493066962</v>
      </c>
      <c r="D5">
        <f t="shared" ca="1" si="0"/>
        <v>50.217366782077278</v>
      </c>
      <c r="E5">
        <f t="shared" ca="1" si="0"/>
        <v>30.902689962589569</v>
      </c>
    </row>
    <row r="6" spans="1:5">
      <c r="A6">
        <v>2005</v>
      </c>
      <c r="B6">
        <f t="shared" ca="1" si="1"/>
        <v>77.338382182450445</v>
      </c>
      <c r="C6">
        <f t="shared" ca="1" si="0"/>
        <v>21.120182637276031</v>
      </c>
      <c r="D6">
        <f t="shared" ca="1" si="0"/>
        <v>86.349773621916299</v>
      </c>
      <c r="E6">
        <f t="shared" ca="1" si="0"/>
        <v>82.910781129329067</v>
      </c>
    </row>
    <row r="7" spans="1:5">
      <c r="A7">
        <v>2006</v>
      </c>
      <c r="B7">
        <f t="shared" ca="1" si="1"/>
        <v>3.185013083934829</v>
      </c>
      <c r="C7">
        <f t="shared" ca="1" si="0"/>
        <v>75.818986443169607</v>
      </c>
      <c r="D7">
        <f t="shared" ca="1" si="0"/>
        <v>46.674758137589315</v>
      </c>
      <c r="E7">
        <f t="shared" ca="1" si="0"/>
        <v>23.712984255178469</v>
      </c>
    </row>
    <row r="8" spans="1:5">
      <c r="A8">
        <v>2007</v>
      </c>
      <c r="B8">
        <f t="shared" ca="1" si="1"/>
        <v>48.010249224381681</v>
      </c>
      <c r="C8">
        <f t="shared" ca="1" si="0"/>
        <v>16.330762220019313</v>
      </c>
      <c r="D8">
        <f t="shared" ca="1" si="0"/>
        <v>88.804357518094818</v>
      </c>
      <c r="E8">
        <f t="shared" ca="1" si="0"/>
        <v>2.2284694378032044</v>
      </c>
    </row>
    <row r="9" spans="1:5">
      <c r="A9">
        <v>2008</v>
      </c>
      <c r="B9">
        <f t="shared" ca="1" si="1"/>
        <v>17.795104870536282</v>
      </c>
      <c r="C9">
        <f t="shared" ca="1" si="0"/>
        <v>91.540747414275145</v>
      </c>
      <c r="D9">
        <f t="shared" ca="1" si="0"/>
        <v>19.530486680406444</v>
      </c>
      <c r="E9">
        <f t="shared" ca="1" si="0"/>
        <v>35.13861912426858</v>
      </c>
    </row>
    <row r="10" spans="1:5">
      <c r="A10">
        <v>2009</v>
      </c>
      <c r="B10">
        <f t="shared" ca="1" si="1"/>
        <v>30.327026817391268</v>
      </c>
      <c r="C10">
        <f t="shared" ca="1" si="0"/>
        <v>95.130717132768069</v>
      </c>
      <c r="D10">
        <f t="shared" ca="1" si="0"/>
        <v>85.345819814963846</v>
      </c>
      <c r="E10">
        <f t="shared" ca="1" si="0"/>
        <v>35.310560358877751</v>
      </c>
    </row>
    <row r="11" spans="1:5">
      <c r="A11">
        <v>2010</v>
      </c>
      <c r="B11">
        <f t="shared" ca="1" si="1"/>
        <v>1.3987913283035058</v>
      </c>
      <c r="C11">
        <f t="shared" ca="1" si="0"/>
        <v>8.5410991317981022</v>
      </c>
      <c r="D11">
        <f t="shared" ca="1" si="0"/>
        <v>33.697363242320279</v>
      </c>
      <c r="E11">
        <f t="shared" ca="1" si="0"/>
        <v>75.890557080312732</v>
      </c>
    </row>
    <row r="12" spans="1:5">
      <c r="A12">
        <v>2011</v>
      </c>
      <c r="B12">
        <f t="shared" ca="1" si="1"/>
        <v>42.515644435440734</v>
      </c>
      <c r="C12">
        <f t="shared" ca="1" si="0"/>
        <v>6.726253378616831</v>
      </c>
      <c r="D12">
        <f t="shared" ca="1" si="0"/>
        <v>77.460351713040438</v>
      </c>
      <c r="E12">
        <f t="shared" ca="1" si="0"/>
        <v>13.796428376233926</v>
      </c>
    </row>
  </sheetData>
  <phoneticPr fontId="1" type="noConversion"/>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分指标满意度</vt:lpstr>
      <vt:lpstr>分科室满意度</vt:lpstr>
      <vt:lpstr>分科室意见</vt:lpstr>
      <vt:lpstr>具体意见</vt:lpstr>
      <vt:lpstr>意见库</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高宇皓</dc:creator>
  <cp:lastModifiedBy>高宇皓</cp:lastModifiedBy>
  <dcterms:created xsi:type="dcterms:W3CDTF">2015-10-16T07:13:38Z</dcterms:created>
  <dcterms:modified xsi:type="dcterms:W3CDTF">2015-10-19T07:59:07Z</dcterms:modified>
</cp:coreProperties>
</file>